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AO\FUTURE PROOF INDIA\PROJECTS\FSWB1\"/>
    </mc:Choice>
  </mc:AlternateContent>
  <xr:revisionPtr revIDLastSave="0" documentId="13_ncr:1_{622D8DFE-76CF-454D-B290-72E2052193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ial Balance &amp; Mapping" sheetId="1" r:id="rId1"/>
    <sheet name="Schedule III - Balance Sheet" sheetId="2" r:id="rId2"/>
    <sheet name="Notes to Ac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3" l="1"/>
  <c r="D42" i="3"/>
  <c r="E35" i="3"/>
  <c r="D35" i="3"/>
  <c r="E29" i="3"/>
  <c r="D29" i="3"/>
  <c r="E21" i="3"/>
  <c r="D21" i="3"/>
  <c r="E15" i="3"/>
  <c r="E16" i="3" s="1"/>
  <c r="D15" i="3"/>
  <c r="D16" i="3" s="1"/>
  <c r="E10" i="3"/>
  <c r="D10" i="3"/>
  <c r="E30" i="2"/>
  <c r="D30" i="2"/>
  <c r="E29" i="2"/>
  <c r="D29" i="2"/>
  <c r="E28" i="2"/>
  <c r="E31" i="2" s="1"/>
  <c r="D28" i="2"/>
  <c r="D31" i="2" s="1"/>
  <c r="D33" i="2" s="1"/>
  <c r="E27" i="2"/>
  <c r="D27" i="2"/>
  <c r="E25" i="2"/>
  <c r="D25" i="2"/>
  <c r="E24" i="2"/>
  <c r="D24" i="2"/>
  <c r="E23" i="2"/>
  <c r="D23" i="2"/>
  <c r="E19" i="2"/>
  <c r="D19" i="2"/>
  <c r="D20" i="2" s="1"/>
  <c r="E18" i="2"/>
  <c r="E20" i="2" s="1"/>
  <c r="D18" i="2"/>
  <c r="E17" i="2"/>
  <c r="D17" i="2"/>
  <c r="E16" i="2"/>
  <c r="D16" i="2"/>
  <c r="E14" i="2"/>
  <c r="D14" i="2"/>
  <c r="E13" i="2"/>
  <c r="D13" i="2"/>
  <c r="E12" i="2"/>
  <c r="D12" i="2"/>
  <c r="E10" i="2"/>
  <c r="D10" i="2"/>
  <c r="E9" i="2"/>
  <c r="D9" i="2"/>
  <c r="H39" i="1"/>
  <c r="G39" i="1"/>
  <c r="F39" i="1"/>
  <c r="F41" i="1" s="1"/>
  <c r="E39" i="1"/>
  <c r="D39" i="1"/>
  <c r="D41" i="1" s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39" i="1" l="1"/>
  <c r="E33" i="2"/>
</calcChain>
</file>

<file path=xl/sharedStrings.xml><?xml version="1.0" encoding="utf-8"?>
<sst xmlns="http://schemas.openxmlformats.org/spreadsheetml/2006/main" count="286" uniqueCount="184">
  <si>
    <t>ABC MANUFACTURING PVT. LTD.</t>
  </si>
  <si>
    <t>Trial Balance with Schedule III (Division I - AS Framework) Mapping | FY 2025-26 &amp; FY 2024-25</t>
  </si>
  <si>
    <t>Reporting Unit: ₹ in Lakhs | CIN: U74999MH2010PTC203456</t>
  </si>
  <si>
    <t>GL Code</t>
  </si>
  <si>
    <t>GL Account Description</t>
  </si>
  <si>
    <t>Account Type</t>
  </si>
  <si>
    <t>CY Debit (₹)</t>
  </si>
  <si>
    <t>CY Credit (₹)</t>
  </si>
  <si>
    <t>PY Debit (₹)</t>
  </si>
  <si>
    <t>PY Credit (₹)</t>
  </si>
  <si>
    <t>CY Net Amount</t>
  </si>
  <si>
    <t>PY Net Amount</t>
  </si>
  <si>
    <t>Schedule III Statement</t>
  </si>
  <si>
    <t>Major Head</t>
  </si>
  <si>
    <t>Minor Head / Line Item</t>
  </si>
  <si>
    <t>Note No.</t>
  </si>
  <si>
    <t>101001</t>
  </si>
  <si>
    <t>Equity Share Capital (Face Value ₹10)</t>
  </si>
  <si>
    <t>Equity</t>
  </si>
  <si>
    <t>Balance Sheet</t>
  </si>
  <si>
    <t>Equity and Liabilities</t>
  </si>
  <si>
    <t>Share Capital</t>
  </si>
  <si>
    <t>102001</t>
  </si>
  <si>
    <t>General Reserve</t>
  </si>
  <si>
    <t>Other Equity</t>
  </si>
  <si>
    <t>102002</t>
  </si>
  <si>
    <t>Surplus / Retained Earnings (Opening)</t>
  </si>
  <si>
    <t>201001</t>
  </si>
  <si>
    <t>Term Loan from HDFC Bank (Secured)</t>
  </si>
  <si>
    <t>Non-Current Liability</t>
  </si>
  <si>
    <t>Long-Term Borrowings</t>
  </si>
  <si>
    <t>201002</t>
  </si>
  <si>
    <t>Deferred Tax Liabilities (Net)</t>
  </si>
  <si>
    <t>201003</t>
  </si>
  <si>
    <t>Provision for Employee Retirement Benefits</t>
  </si>
  <si>
    <t>Long-Term Provisions</t>
  </si>
  <si>
    <t>202001</t>
  </si>
  <si>
    <t>Cash Credit / Working Capital Facility (SBI)</t>
  </si>
  <si>
    <t>Current Liability</t>
  </si>
  <si>
    <t>Short-Term Borrowings</t>
  </si>
  <si>
    <t>202002</t>
  </si>
  <si>
    <t>Sundry Creditors for Raw Materials (MSME)</t>
  </si>
  <si>
    <t>Trade Payables</t>
  </si>
  <si>
    <t>202003</t>
  </si>
  <si>
    <t>Sundry Creditors for Operational Expenses</t>
  </si>
  <si>
    <t>202004</t>
  </si>
  <si>
    <t>Advance Received from Customers</t>
  </si>
  <si>
    <t>Other Current Liabilities</t>
  </si>
  <si>
    <t>202005</t>
  </si>
  <si>
    <t>Statutory Dues Payable (GST &amp; TDS)</t>
  </si>
  <si>
    <t>202006</t>
  </si>
  <si>
    <t>Provision for Income Tax (Current Year)</t>
  </si>
  <si>
    <t>Short-Term Provisions</t>
  </si>
  <si>
    <t>301001</t>
  </si>
  <si>
    <t>Plant &amp; Machinery (Gross Block)</t>
  </si>
  <si>
    <t>Non-Current Asset</t>
  </si>
  <si>
    <t>Assets</t>
  </si>
  <si>
    <t>Property, Plant &amp; Equipment</t>
  </si>
  <si>
    <t>301002</t>
  </si>
  <si>
    <t>Factory Equipment &amp; Tools</t>
  </si>
  <si>
    <t>301003</t>
  </si>
  <si>
    <t>Accumulated Depreciation on PPE</t>
  </si>
  <si>
    <t>Contra Asset</t>
  </si>
  <si>
    <t>301004</t>
  </si>
  <si>
    <t>Capital Work-in-Progress (Machinery under installation)</t>
  </si>
  <si>
    <t>Capital Work-in-Progress</t>
  </si>
  <si>
    <t>301005</t>
  </si>
  <si>
    <t>Security Deposits with Electricity Board &amp; Govt</t>
  </si>
  <si>
    <t>Long-Term Loans and Advances</t>
  </si>
  <si>
    <t>302001</t>
  </si>
  <si>
    <t>Raw Materials Inventory</t>
  </si>
  <si>
    <t>Current Asset</t>
  </si>
  <si>
    <t>Inventories</t>
  </si>
  <si>
    <t>302002</t>
  </si>
  <si>
    <t>Finished Goods Inventory</t>
  </si>
  <si>
    <t>302003</t>
  </si>
  <si>
    <t>Trade Receivables (Outstanding &lt; 6 months)</t>
  </si>
  <si>
    <t>Trade Receivables</t>
  </si>
  <si>
    <t>302004</t>
  </si>
  <si>
    <t>Cash at Bank (Current Accounts)</t>
  </si>
  <si>
    <t>Cash and Cash Equivalents</t>
  </si>
  <si>
    <t>302005</t>
  </si>
  <si>
    <t>Prepaid Insurance &amp; Operational Advances</t>
  </si>
  <si>
    <t>Short-Term Loans and Advances</t>
  </si>
  <si>
    <t>401001</t>
  </si>
  <si>
    <t>Revenue from Sale of Manufactured Products</t>
  </si>
  <si>
    <t>Revenue</t>
  </si>
  <si>
    <t>Profit &amp; Loss</t>
  </si>
  <si>
    <t>Revenue from Operations</t>
  </si>
  <si>
    <t>402001</t>
  </si>
  <si>
    <t>Interest Income on Fixed Deposits</t>
  </si>
  <si>
    <t>Other Income</t>
  </si>
  <si>
    <t>501001</t>
  </si>
  <si>
    <t>Cost of Materials Consumed</t>
  </si>
  <si>
    <t>Expense</t>
  </si>
  <si>
    <t>Expenses</t>
  </si>
  <si>
    <t>502001</t>
  </si>
  <si>
    <t>Employee Benefit Expenses (Salaries &amp; Wages)</t>
  </si>
  <si>
    <t>Employee Benefit Expenses</t>
  </si>
  <si>
    <t>503001</t>
  </si>
  <si>
    <t>Finance Costs (Interest on Term Loans &amp; CC)</t>
  </si>
  <si>
    <t>Finance Costs</t>
  </si>
  <si>
    <t>504001</t>
  </si>
  <si>
    <t>Depreciation &amp; Amortisation Expense</t>
  </si>
  <si>
    <t>Depreciation &amp; Amortisation</t>
  </si>
  <si>
    <t>505001</t>
  </si>
  <si>
    <t>Power, Fuel &amp; Manufacturing Overheads</t>
  </si>
  <si>
    <t>Other Expenses</t>
  </si>
  <si>
    <t>506001</t>
  </si>
  <si>
    <t>Current Tax Expense</t>
  </si>
  <si>
    <t>Tax Expense</t>
  </si>
  <si>
    <t>506002</t>
  </si>
  <si>
    <t>Deferred Tax Charge / (Credit)</t>
  </si>
  <si>
    <t>102003</t>
  </si>
  <si>
    <t>Current Year Profit Transferred to Reserves</t>
  </si>
  <si>
    <t>TOTAL TRIAL BALANCE</t>
  </si>
  <si>
    <t>Trial Balance Validation Status:</t>
  </si>
  <si>
    <t>BALANCE SHEET AS AT 31 MARCH 2026</t>
  </si>
  <si>
    <t>(₹ in lakh) | Division I - Accounting Standards (AS Framework)</t>
  </si>
  <si>
    <t>Particulars</t>
  </si>
  <si>
    <t>As at 31 March 2026</t>
  </si>
  <si>
    <t>As at 31 March 2025</t>
  </si>
  <si>
    <t>I. EQUITY AND LIABILITIES</t>
  </si>
  <si>
    <t>(1) Shareholders' Funds</t>
  </si>
  <si>
    <t xml:space="preserve">    (a) Share capital</t>
  </si>
  <si>
    <t xml:space="preserve">    (b) Reserves and surplus</t>
  </si>
  <si>
    <t>(2) Non-Current Liabilities</t>
  </si>
  <si>
    <t xml:space="preserve">    (a) Long-term borrowings</t>
  </si>
  <si>
    <t xml:space="preserve">    (b) Deferred tax liabilities (Net)</t>
  </si>
  <si>
    <t xml:space="preserve">    (c) Long-term provisions</t>
  </si>
  <si>
    <t>(3) Current Liabilities</t>
  </si>
  <si>
    <t xml:space="preserve">    (a) Short-term borrowings</t>
  </si>
  <si>
    <t xml:space="preserve">    (b) Trade payables</t>
  </si>
  <si>
    <t xml:space="preserve">    (c) Other current liabilities</t>
  </si>
  <si>
    <t xml:space="preserve">    (d) Short-term provisions</t>
  </si>
  <si>
    <t>TOTAL EQUITY AND LIABILITIES</t>
  </si>
  <si>
    <t>II. ASSETS</t>
  </si>
  <si>
    <t>(1) Non-Current Assets</t>
  </si>
  <si>
    <t xml:space="preserve">    (a) Property, Plant and Equipment</t>
  </si>
  <si>
    <t xml:space="preserve">    (b) Capital work-in-progress</t>
  </si>
  <si>
    <t xml:space="preserve">    (c) Long-term loans and advances</t>
  </si>
  <si>
    <t>(2) Current Assets</t>
  </si>
  <si>
    <t xml:space="preserve">    (a) Inventories</t>
  </si>
  <si>
    <t xml:space="preserve">    (b) Trade receivables</t>
  </si>
  <si>
    <t xml:space="preserve">    (c) Cash and cash equivalents</t>
  </si>
  <si>
    <t xml:space="preserve">    (d) Short-term loans and advances</t>
  </si>
  <si>
    <t>TOTAL ASSETS</t>
  </si>
  <si>
    <t>Balance Sheet Cross-Check (Assets - Liabilities):</t>
  </si>
  <si>
    <t>NOTES FORMING PART OF THE FINANCIAL STATEMENTS</t>
  </si>
  <si>
    <t>Figures in ₹ Lakhs | Comparative Figures for Previous Year included</t>
  </si>
  <si>
    <t>Particulars / Line Item Breakdown</t>
  </si>
  <si>
    <t>Note 1: Share Capital</t>
  </si>
  <si>
    <t>Authorised: 3,00,000 Equity Shares of ₹10 each</t>
  </si>
  <si>
    <t>Issued, Subscribed &amp; Paid-up: 2,00,000 Equity Shares of ₹10 each</t>
  </si>
  <si>
    <t>Total Share Capital</t>
  </si>
  <si>
    <t>Note 2: Reserves and Surplus</t>
  </si>
  <si>
    <t>General Reserve (Opening &amp; Closing)</t>
  </si>
  <si>
    <t>Surplus in Statement of Profit and Loss (Opening)</t>
  </si>
  <si>
    <t>Add: Profit for the Year</t>
  </si>
  <si>
    <t>Closing Balance in Profit and Loss</t>
  </si>
  <si>
    <t>Total Reserves and Surplus</t>
  </si>
  <si>
    <t>Note 3: Non-Current Liabilities</t>
  </si>
  <si>
    <t>Term Loan from HDFC Bank (Secured against plant)</t>
  </si>
  <si>
    <t>Provision for Employee Retirement Benefits (Gratuity/Leave)</t>
  </si>
  <si>
    <t>Total Non-Current Liabilities</t>
  </si>
  <si>
    <t>Note 4: Current Liabilities</t>
  </si>
  <si>
    <t>Working Capital Borrowings (SBI Cash Credit)</t>
  </si>
  <si>
    <t>Trade Payables - MSME Enterprises</t>
  </si>
  <si>
    <t>Trade Payables - Other than MSME</t>
  </si>
  <si>
    <t>Statutory Liabilities (GST, TDS &amp; PF Payable)</t>
  </si>
  <si>
    <t>Provision for Current Tax</t>
  </si>
  <si>
    <t>Total Current Liabilities</t>
  </si>
  <si>
    <t>Note 5: Non-Current Assets</t>
  </si>
  <si>
    <t>Plant &amp; Machinery (Gross Block: ₹42.00, Acc. Dep: ₹11.00)</t>
  </si>
  <si>
    <t>Capital Work-in-Progress (Machinery awaiting commissioning)</t>
  </si>
  <si>
    <t>Long-term Security Deposits (Govt &amp; Utilities)</t>
  </si>
  <si>
    <t>Total Non-Current Assets</t>
  </si>
  <si>
    <t>Note 6: Current Assets</t>
  </si>
  <si>
    <t>Raw Materials &amp; Packing Materials</t>
  </si>
  <si>
    <t>Finished Goods</t>
  </si>
  <si>
    <t>Trade Receivables (Unsecured, considered good)</t>
  </si>
  <si>
    <t>Cash and Cash Equivalents (Bank Current Accounts)</t>
  </si>
  <si>
    <t>Short-Term Loans and Advances (Prepaid expenses)</t>
  </si>
  <si>
    <t>Total Current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</si>
</sst>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&quot;-&quot;"/>
  </numFmts>
  <fonts count="10" x14ac:knownFonts="1">
    <font>
      <sz val="11"/>
      <color theme="1"/>
      <name val="Calibri"/>
      <family val="2"/>
      <scheme val="minor"/>
    </font>
    <font>
      <b/>
      <sz val="15"/>
      <color rgb="FF1E3A5F"/>
      <name val="Calibri"/>
    </font>
    <font>
      <i/>
      <sz val="10"/>
      <color rgb="FF475569"/>
      <name val="Calibri"/>
    </font>
    <font>
      <b/>
      <sz val="11"/>
      <color rgb="FFFFFFFF"/>
      <name val="Calibri"/>
    </font>
    <font>
      <sz val="11"/>
      <color rgb="FF1E293B"/>
      <name val="Calibri"/>
    </font>
    <font>
      <b/>
      <sz val="11"/>
      <color rgb="FF0F172A"/>
      <name val="Calibri"/>
    </font>
    <font>
      <b/>
      <sz val="11"/>
      <color rgb="FF137333"/>
      <name val="Calibri"/>
    </font>
    <font>
      <b/>
      <sz val="12"/>
      <color rgb="FF1E3A5F"/>
      <name val="Calibri"/>
    </font>
    <font>
      <b/>
      <sz val="11"/>
      <color rgb="FF1E293B"/>
      <name val="Calibri"/>
    </font>
    <font>
      <b/>
      <sz val="10"/>
      <color rgb="FF13733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8FAFC"/>
        <bgColor rgb="FFF8FAFC"/>
      </patternFill>
    </fill>
    <fill>
      <patternFill patternType="solid">
        <fgColor rgb="FFE6F4EA"/>
        <bgColor rgb="FFE6F4EA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5" fillId="0" borderId="2" xfId="0" applyFont="1" applyBorder="1" applyAlignment="1">
      <alignment horizontal="left" vertical="center"/>
    </xf>
    <xf numFmtId="4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0" fontId="7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4" fontId="5" fillId="5" borderId="2" xfId="0" applyNumberFormat="1" applyFont="1" applyFill="1" applyBorder="1" applyAlignment="1">
      <alignment horizontal="right" vertical="center"/>
    </xf>
    <xf numFmtId="0" fontId="9" fillId="4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1"/>
  <sheetViews>
    <sheetView tabSelected="1" topLeftCell="A18" workbookViewId="0">
      <selection activeCell="D28" sqref="D28"/>
    </sheetView>
  </sheetViews>
  <sheetFormatPr defaultRowHeight="14.5" x14ac:dyDescent="0.35"/>
  <cols>
    <col min="1" max="1" width="12" customWidth="1"/>
    <col min="2" max="2" width="44" customWidth="1"/>
    <col min="3" max="3" width="20" customWidth="1"/>
    <col min="4" max="7" width="15" customWidth="1"/>
    <col min="8" max="9" width="16" customWidth="1"/>
    <col min="10" max="10" width="22" customWidth="1"/>
    <col min="11" max="11" width="24" customWidth="1"/>
    <col min="12" max="12" width="30" customWidth="1"/>
    <col min="13" max="13" width="10" customWidth="1"/>
  </cols>
  <sheetData>
    <row r="2" spans="1:13" ht="19.5" x14ac:dyDescent="0.45">
      <c r="A2" s="1" t="s">
        <v>0</v>
      </c>
    </row>
    <row r="3" spans="1:13" x14ac:dyDescent="0.35">
      <c r="A3" s="2" t="s">
        <v>1</v>
      </c>
    </row>
    <row r="4" spans="1:13" x14ac:dyDescent="0.35">
      <c r="A4" s="2" t="s">
        <v>2</v>
      </c>
    </row>
    <row r="6" spans="1:13" x14ac:dyDescent="0.3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</row>
    <row r="7" spans="1:13" x14ac:dyDescent="0.35">
      <c r="A7" s="4" t="s">
        <v>16</v>
      </c>
      <c r="B7" s="5" t="s">
        <v>17</v>
      </c>
      <c r="C7" s="4" t="s">
        <v>18</v>
      </c>
      <c r="D7" s="6">
        <v>0</v>
      </c>
      <c r="E7" s="6">
        <v>20</v>
      </c>
      <c r="F7" s="6">
        <v>0</v>
      </c>
      <c r="G7" s="6">
        <v>20</v>
      </c>
      <c r="H7" s="7">
        <f t="shared" ref="H7:H38" si="0">D7-E7</f>
        <v>-20</v>
      </c>
      <c r="I7" s="7">
        <f t="shared" ref="I7:I38" si="1">F7-G7</f>
        <v>-20</v>
      </c>
      <c r="J7" s="5" t="s">
        <v>19</v>
      </c>
      <c r="K7" s="5" t="s">
        <v>20</v>
      </c>
      <c r="L7" s="5" t="s">
        <v>21</v>
      </c>
      <c r="M7" s="4">
        <v>1</v>
      </c>
    </row>
    <row r="8" spans="1:13" x14ac:dyDescent="0.35">
      <c r="A8" s="8" t="s">
        <v>22</v>
      </c>
      <c r="B8" s="9" t="s">
        <v>23</v>
      </c>
      <c r="C8" s="8" t="s">
        <v>18</v>
      </c>
      <c r="D8" s="10">
        <v>0</v>
      </c>
      <c r="E8" s="10">
        <v>15</v>
      </c>
      <c r="F8" s="10">
        <v>0</v>
      </c>
      <c r="G8" s="10">
        <v>15</v>
      </c>
      <c r="H8" s="11">
        <f t="shared" si="0"/>
        <v>-15</v>
      </c>
      <c r="I8" s="11">
        <f t="shared" si="1"/>
        <v>-15</v>
      </c>
      <c r="J8" s="9" t="s">
        <v>19</v>
      </c>
      <c r="K8" s="9" t="s">
        <v>20</v>
      </c>
      <c r="L8" s="9" t="s">
        <v>24</v>
      </c>
      <c r="M8" s="8">
        <v>2</v>
      </c>
    </row>
    <row r="9" spans="1:13" x14ac:dyDescent="0.35">
      <c r="A9" s="4" t="s">
        <v>25</v>
      </c>
      <c r="B9" s="5" t="s">
        <v>26</v>
      </c>
      <c r="C9" s="4" t="s">
        <v>18</v>
      </c>
      <c r="D9" s="6">
        <v>0</v>
      </c>
      <c r="E9" s="6">
        <v>13</v>
      </c>
      <c r="F9" s="6">
        <v>0</v>
      </c>
      <c r="G9" s="6">
        <v>8</v>
      </c>
      <c r="H9" s="7">
        <f t="shared" si="0"/>
        <v>-13</v>
      </c>
      <c r="I9" s="7">
        <f t="shared" si="1"/>
        <v>-8</v>
      </c>
      <c r="J9" s="5" t="s">
        <v>19</v>
      </c>
      <c r="K9" s="5" t="s">
        <v>20</v>
      </c>
      <c r="L9" s="5" t="s">
        <v>24</v>
      </c>
      <c r="M9" s="4">
        <v>2</v>
      </c>
    </row>
    <row r="10" spans="1:13" x14ac:dyDescent="0.35">
      <c r="A10" s="8" t="s">
        <v>27</v>
      </c>
      <c r="B10" s="9" t="s">
        <v>28</v>
      </c>
      <c r="C10" s="8" t="s">
        <v>29</v>
      </c>
      <c r="D10" s="10">
        <v>0</v>
      </c>
      <c r="E10" s="10">
        <v>10</v>
      </c>
      <c r="F10" s="10">
        <v>0</v>
      </c>
      <c r="G10" s="10">
        <v>12</v>
      </c>
      <c r="H10" s="11">
        <f t="shared" si="0"/>
        <v>-10</v>
      </c>
      <c r="I10" s="11">
        <f t="shared" si="1"/>
        <v>-12</v>
      </c>
      <c r="J10" s="9" t="s">
        <v>19</v>
      </c>
      <c r="K10" s="9" t="s">
        <v>20</v>
      </c>
      <c r="L10" s="9" t="s">
        <v>30</v>
      </c>
      <c r="M10" s="8">
        <v>3</v>
      </c>
    </row>
    <row r="11" spans="1:13" x14ac:dyDescent="0.35">
      <c r="A11" s="4" t="s">
        <v>31</v>
      </c>
      <c r="B11" s="5" t="s">
        <v>32</v>
      </c>
      <c r="C11" s="4" t="s">
        <v>29</v>
      </c>
      <c r="D11" s="6">
        <v>0</v>
      </c>
      <c r="E11" s="6">
        <v>3.5</v>
      </c>
      <c r="F11" s="6">
        <v>0</v>
      </c>
      <c r="G11" s="6">
        <v>4</v>
      </c>
      <c r="H11" s="7">
        <f t="shared" si="0"/>
        <v>-3.5</v>
      </c>
      <c r="I11" s="7">
        <f t="shared" si="1"/>
        <v>-4</v>
      </c>
      <c r="J11" s="5" t="s">
        <v>19</v>
      </c>
      <c r="K11" s="5" t="s">
        <v>20</v>
      </c>
      <c r="L11" s="5" t="s">
        <v>32</v>
      </c>
      <c r="M11" s="4">
        <v>3</v>
      </c>
    </row>
    <row r="12" spans="1:13" x14ac:dyDescent="0.35">
      <c r="A12" s="8" t="s">
        <v>33</v>
      </c>
      <c r="B12" s="9" t="s">
        <v>34</v>
      </c>
      <c r="C12" s="8" t="s">
        <v>29</v>
      </c>
      <c r="D12" s="10">
        <v>0</v>
      </c>
      <c r="E12" s="10">
        <v>1.5</v>
      </c>
      <c r="F12" s="10">
        <v>0</v>
      </c>
      <c r="G12" s="10">
        <v>2</v>
      </c>
      <c r="H12" s="11">
        <f t="shared" si="0"/>
        <v>-1.5</v>
      </c>
      <c r="I12" s="11">
        <f t="shared" si="1"/>
        <v>-2</v>
      </c>
      <c r="J12" s="9" t="s">
        <v>19</v>
      </c>
      <c r="K12" s="9" t="s">
        <v>20</v>
      </c>
      <c r="L12" s="9" t="s">
        <v>35</v>
      </c>
      <c r="M12" s="8">
        <v>3</v>
      </c>
    </row>
    <row r="13" spans="1:13" x14ac:dyDescent="0.35">
      <c r="A13" s="4" t="s">
        <v>36</v>
      </c>
      <c r="B13" s="5" t="s">
        <v>37</v>
      </c>
      <c r="C13" s="4" t="s">
        <v>38</v>
      </c>
      <c r="D13" s="6">
        <v>0</v>
      </c>
      <c r="E13" s="6">
        <v>12</v>
      </c>
      <c r="F13" s="6">
        <v>0</v>
      </c>
      <c r="G13" s="6">
        <v>10</v>
      </c>
      <c r="H13" s="7">
        <f t="shared" si="0"/>
        <v>-12</v>
      </c>
      <c r="I13" s="7">
        <f t="shared" si="1"/>
        <v>-10</v>
      </c>
      <c r="J13" s="5" t="s">
        <v>19</v>
      </c>
      <c r="K13" s="5" t="s">
        <v>20</v>
      </c>
      <c r="L13" s="5" t="s">
        <v>39</v>
      </c>
      <c r="M13" s="4">
        <v>4</v>
      </c>
    </row>
    <row r="14" spans="1:13" x14ac:dyDescent="0.35">
      <c r="A14" s="8" t="s">
        <v>40</v>
      </c>
      <c r="B14" s="9" t="s">
        <v>41</v>
      </c>
      <c r="C14" s="8" t="s">
        <v>38</v>
      </c>
      <c r="D14" s="10">
        <v>0</v>
      </c>
      <c r="E14" s="10">
        <v>8.5</v>
      </c>
      <c r="F14" s="10">
        <v>0</v>
      </c>
      <c r="G14" s="10">
        <v>7</v>
      </c>
      <c r="H14" s="11">
        <f t="shared" si="0"/>
        <v>-8.5</v>
      </c>
      <c r="I14" s="11">
        <f t="shared" si="1"/>
        <v>-7</v>
      </c>
      <c r="J14" s="9" t="s">
        <v>19</v>
      </c>
      <c r="K14" s="9" t="s">
        <v>20</v>
      </c>
      <c r="L14" s="9" t="s">
        <v>42</v>
      </c>
      <c r="M14" s="8">
        <v>4</v>
      </c>
    </row>
    <row r="15" spans="1:13" x14ac:dyDescent="0.35">
      <c r="A15" s="4" t="s">
        <v>43</v>
      </c>
      <c r="B15" s="5" t="s">
        <v>44</v>
      </c>
      <c r="C15" s="4" t="s">
        <v>38</v>
      </c>
      <c r="D15" s="6">
        <v>0</v>
      </c>
      <c r="E15" s="6">
        <v>6.5</v>
      </c>
      <c r="F15" s="6">
        <v>0</v>
      </c>
      <c r="G15" s="6">
        <v>6</v>
      </c>
      <c r="H15" s="7">
        <f t="shared" si="0"/>
        <v>-6.5</v>
      </c>
      <c r="I15" s="7">
        <f t="shared" si="1"/>
        <v>-6</v>
      </c>
      <c r="J15" s="5" t="s">
        <v>19</v>
      </c>
      <c r="K15" s="5" t="s">
        <v>20</v>
      </c>
      <c r="L15" s="5" t="s">
        <v>42</v>
      </c>
      <c r="M15" s="4">
        <v>4</v>
      </c>
    </row>
    <row r="16" spans="1:13" x14ac:dyDescent="0.35">
      <c r="A16" s="8" t="s">
        <v>45</v>
      </c>
      <c r="B16" s="9" t="s">
        <v>46</v>
      </c>
      <c r="C16" s="8" t="s">
        <v>38</v>
      </c>
      <c r="D16" s="10">
        <v>0</v>
      </c>
      <c r="E16" s="10">
        <v>3</v>
      </c>
      <c r="F16" s="10">
        <v>0</v>
      </c>
      <c r="G16" s="10">
        <v>2.5</v>
      </c>
      <c r="H16" s="11">
        <f t="shared" si="0"/>
        <v>-3</v>
      </c>
      <c r="I16" s="11">
        <f t="shared" si="1"/>
        <v>-2.5</v>
      </c>
      <c r="J16" s="9" t="s">
        <v>19</v>
      </c>
      <c r="K16" s="9" t="s">
        <v>20</v>
      </c>
      <c r="L16" s="9" t="s">
        <v>47</v>
      </c>
      <c r="M16" s="8">
        <v>4</v>
      </c>
    </row>
    <row r="17" spans="1:13" x14ac:dyDescent="0.35">
      <c r="A17" s="4" t="s">
        <v>48</v>
      </c>
      <c r="B17" s="5" t="s">
        <v>49</v>
      </c>
      <c r="C17" s="4" t="s">
        <v>38</v>
      </c>
      <c r="D17" s="6">
        <v>0</v>
      </c>
      <c r="E17" s="6">
        <v>2.2000000000000002</v>
      </c>
      <c r="F17" s="6">
        <v>0</v>
      </c>
      <c r="G17" s="6">
        <v>2</v>
      </c>
      <c r="H17" s="7">
        <f t="shared" si="0"/>
        <v>-2.2000000000000002</v>
      </c>
      <c r="I17" s="7">
        <f t="shared" si="1"/>
        <v>-2</v>
      </c>
      <c r="J17" s="5" t="s">
        <v>19</v>
      </c>
      <c r="K17" s="5" t="s">
        <v>20</v>
      </c>
      <c r="L17" s="5" t="s">
        <v>47</v>
      </c>
      <c r="M17" s="4">
        <v>4</v>
      </c>
    </row>
    <row r="18" spans="1:13" x14ac:dyDescent="0.35">
      <c r="A18" s="8" t="s">
        <v>50</v>
      </c>
      <c r="B18" s="9" t="s">
        <v>51</v>
      </c>
      <c r="C18" s="8" t="s">
        <v>38</v>
      </c>
      <c r="D18" s="10">
        <v>0</v>
      </c>
      <c r="E18" s="10">
        <v>2.8</v>
      </c>
      <c r="F18" s="10">
        <v>0</v>
      </c>
      <c r="G18" s="10">
        <v>2.5</v>
      </c>
      <c r="H18" s="11">
        <f t="shared" si="0"/>
        <v>-2.8</v>
      </c>
      <c r="I18" s="11">
        <f t="shared" si="1"/>
        <v>-2.5</v>
      </c>
      <c r="J18" s="9" t="s">
        <v>19</v>
      </c>
      <c r="K18" s="9" t="s">
        <v>20</v>
      </c>
      <c r="L18" s="9" t="s">
        <v>52</v>
      </c>
      <c r="M18" s="8">
        <v>4</v>
      </c>
    </row>
    <row r="19" spans="1:13" x14ac:dyDescent="0.35">
      <c r="A19" s="4" t="s">
        <v>53</v>
      </c>
      <c r="B19" s="5" t="s">
        <v>54</v>
      </c>
      <c r="C19" s="4" t="s">
        <v>55</v>
      </c>
      <c r="D19" s="6">
        <v>42</v>
      </c>
      <c r="E19" s="6">
        <v>0</v>
      </c>
      <c r="F19" s="6">
        <v>38</v>
      </c>
      <c r="G19" s="6">
        <v>0</v>
      </c>
      <c r="H19" s="7">
        <f t="shared" si="0"/>
        <v>42</v>
      </c>
      <c r="I19" s="7">
        <f t="shared" si="1"/>
        <v>38</v>
      </c>
      <c r="J19" s="5" t="s">
        <v>19</v>
      </c>
      <c r="K19" s="5" t="s">
        <v>56</v>
      </c>
      <c r="L19" s="5" t="s">
        <v>57</v>
      </c>
      <c r="M19" s="4">
        <v>5</v>
      </c>
    </row>
    <row r="20" spans="1:13" x14ac:dyDescent="0.35">
      <c r="A20" s="8" t="s">
        <v>58</v>
      </c>
      <c r="B20" s="9" t="s">
        <v>59</v>
      </c>
      <c r="C20" s="8" t="s">
        <v>55</v>
      </c>
      <c r="D20" s="10">
        <v>12</v>
      </c>
      <c r="E20" s="10">
        <v>0</v>
      </c>
      <c r="F20" s="10">
        <v>10</v>
      </c>
      <c r="G20" s="10">
        <v>0</v>
      </c>
      <c r="H20" s="11">
        <f t="shared" si="0"/>
        <v>12</v>
      </c>
      <c r="I20" s="11">
        <f t="shared" si="1"/>
        <v>10</v>
      </c>
      <c r="J20" s="9" t="s">
        <v>19</v>
      </c>
      <c r="K20" s="9" t="s">
        <v>56</v>
      </c>
      <c r="L20" s="9" t="s">
        <v>57</v>
      </c>
      <c r="M20" s="8">
        <v>5</v>
      </c>
    </row>
    <row r="21" spans="1:13" x14ac:dyDescent="0.35">
      <c r="A21" s="4" t="s">
        <v>60</v>
      </c>
      <c r="B21" s="5" t="s">
        <v>61</v>
      </c>
      <c r="C21" s="4" t="s">
        <v>62</v>
      </c>
      <c r="D21" s="6">
        <v>0</v>
      </c>
      <c r="E21" s="6">
        <v>11</v>
      </c>
      <c r="F21" s="6">
        <v>0</v>
      </c>
      <c r="G21" s="6">
        <v>8.5</v>
      </c>
      <c r="H21" s="7">
        <f t="shared" si="0"/>
        <v>-11</v>
      </c>
      <c r="I21" s="7">
        <f t="shared" si="1"/>
        <v>-8.5</v>
      </c>
      <c r="J21" s="5" t="s">
        <v>19</v>
      </c>
      <c r="K21" s="5" t="s">
        <v>56</v>
      </c>
      <c r="L21" s="5" t="s">
        <v>57</v>
      </c>
      <c r="M21" s="4">
        <v>5</v>
      </c>
    </row>
    <row r="22" spans="1:13" x14ac:dyDescent="0.35">
      <c r="A22" s="8" t="s">
        <v>63</v>
      </c>
      <c r="B22" s="9" t="s">
        <v>64</v>
      </c>
      <c r="C22" s="8" t="s">
        <v>55</v>
      </c>
      <c r="D22" s="10">
        <v>3</v>
      </c>
      <c r="E22" s="10">
        <v>0</v>
      </c>
      <c r="F22" s="10">
        <v>2.5</v>
      </c>
      <c r="G22" s="10">
        <v>0</v>
      </c>
      <c r="H22" s="11">
        <f t="shared" si="0"/>
        <v>3</v>
      </c>
      <c r="I22" s="11">
        <f t="shared" si="1"/>
        <v>2.5</v>
      </c>
      <c r="J22" s="9" t="s">
        <v>19</v>
      </c>
      <c r="K22" s="9" t="s">
        <v>56</v>
      </c>
      <c r="L22" s="9" t="s">
        <v>65</v>
      </c>
      <c r="M22" s="8">
        <v>5</v>
      </c>
    </row>
    <row r="23" spans="1:13" x14ac:dyDescent="0.35">
      <c r="A23" s="4" t="s">
        <v>66</v>
      </c>
      <c r="B23" s="5" t="s">
        <v>67</v>
      </c>
      <c r="C23" s="4" t="s">
        <v>55</v>
      </c>
      <c r="D23" s="6">
        <v>2</v>
      </c>
      <c r="E23" s="6">
        <v>0</v>
      </c>
      <c r="F23" s="6">
        <v>2</v>
      </c>
      <c r="G23" s="6">
        <v>0</v>
      </c>
      <c r="H23" s="7">
        <f t="shared" si="0"/>
        <v>2</v>
      </c>
      <c r="I23" s="7">
        <f t="shared" si="1"/>
        <v>2</v>
      </c>
      <c r="J23" s="5" t="s">
        <v>19</v>
      </c>
      <c r="K23" s="5" t="s">
        <v>56</v>
      </c>
      <c r="L23" s="5" t="s">
        <v>68</v>
      </c>
      <c r="M23" s="4">
        <v>5</v>
      </c>
    </row>
    <row r="24" spans="1:13" x14ac:dyDescent="0.35">
      <c r="A24" s="8" t="s">
        <v>69</v>
      </c>
      <c r="B24" s="9" t="s">
        <v>70</v>
      </c>
      <c r="C24" s="8" t="s">
        <v>71</v>
      </c>
      <c r="D24" s="10">
        <v>16</v>
      </c>
      <c r="E24" s="10">
        <v>0</v>
      </c>
      <c r="F24" s="10">
        <v>14</v>
      </c>
      <c r="G24" s="10">
        <v>0</v>
      </c>
      <c r="H24" s="11">
        <f t="shared" si="0"/>
        <v>16</v>
      </c>
      <c r="I24" s="11">
        <f t="shared" si="1"/>
        <v>14</v>
      </c>
      <c r="J24" s="9" t="s">
        <v>19</v>
      </c>
      <c r="K24" s="9" t="s">
        <v>56</v>
      </c>
      <c r="L24" s="9" t="s">
        <v>72</v>
      </c>
      <c r="M24" s="8">
        <v>6</v>
      </c>
    </row>
    <row r="25" spans="1:13" x14ac:dyDescent="0.35">
      <c r="A25" s="4" t="s">
        <v>73</v>
      </c>
      <c r="B25" s="5" t="s">
        <v>74</v>
      </c>
      <c r="C25" s="4" t="s">
        <v>71</v>
      </c>
      <c r="D25" s="6">
        <v>12</v>
      </c>
      <c r="E25" s="6">
        <v>0</v>
      </c>
      <c r="F25" s="6">
        <v>11</v>
      </c>
      <c r="G25" s="6">
        <v>0</v>
      </c>
      <c r="H25" s="7">
        <f t="shared" si="0"/>
        <v>12</v>
      </c>
      <c r="I25" s="7">
        <f t="shared" si="1"/>
        <v>11</v>
      </c>
      <c r="J25" s="5" t="s">
        <v>19</v>
      </c>
      <c r="K25" s="5" t="s">
        <v>56</v>
      </c>
      <c r="L25" s="5" t="s">
        <v>72</v>
      </c>
      <c r="M25" s="4">
        <v>6</v>
      </c>
    </row>
    <row r="26" spans="1:13" x14ac:dyDescent="0.35">
      <c r="A26" s="8" t="s">
        <v>75</v>
      </c>
      <c r="B26" s="9" t="s">
        <v>76</v>
      </c>
      <c r="C26" s="8" t="s">
        <v>71</v>
      </c>
      <c r="D26" s="10">
        <v>20</v>
      </c>
      <c r="E26" s="10">
        <v>0</v>
      </c>
      <c r="F26" s="10">
        <v>18</v>
      </c>
      <c r="G26" s="10">
        <v>0</v>
      </c>
      <c r="H26" s="11">
        <f t="shared" si="0"/>
        <v>20</v>
      </c>
      <c r="I26" s="11">
        <f t="shared" si="1"/>
        <v>18</v>
      </c>
      <c r="J26" s="9" t="s">
        <v>19</v>
      </c>
      <c r="K26" s="9" t="s">
        <v>56</v>
      </c>
      <c r="L26" s="9" t="s">
        <v>77</v>
      </c>
      <c r="M26" s="8">
        <v>6</v>
      </c>
    </row>
    <row r="27" spans="1:13" x14ac:dyDescent="0.35">
      <c r="A27" s="4" t="s">
        <v>78</v>
      </c>
      <c r="B27" s="5" t="s">
        <v>79</v>
      </c>
      <c r="C27" s="4" t="s">
        <v>71</v>
      </c>
      <c r="D27" s="6">
        <v>6.5</v>
      </c>
      <c r="E27" s="6">
        <v>0</v>
      </c>
      <c r="F27" s="6">
        <v>6</v>
      </c>
      <c r="G27" s="6">
        <v>0</v>
      </c>
      <c r="H27" s="7">
        <f t="shared" si="0"/>
        <v>6.5</v>
      </c>
      <c r="I27" s="7">
        <f t="shared" si="1"/>
        <v>6</v>
      </c>
      <c r="J27" s="5" t="s">
        <v>19</v>
      </c>
      <c r="K27" s="5" t="s">
        <v>56</v>
      </c>
      <c r="L27" s="5" t="s">
        <v>80</v>
      </c>
      <c r="M27" s="4">
        <v>6</v>
      </c>
    </row>
    <row r="28" spans="1:13" x14ac:dyDescent="0.35">
      <c r="A28" s="8" t="s">
        <v>81</v>
      </c>
      <c r="B28" s="9" t="s">
        <v>82</v>
      </c>
      <c r="C28" s="8" t="s">
        <v>71</v>
      </c>
      <c r="D28" s="10">
        <v>2.5</v>
      </c>
      <c r="E28" s="10">
        <v>0</v>
      </c>
      <c r="F28" s="10">
        <v>3</v>
      </c>
      <c r="G28" s="10">
        <v>0</v>
      </c>
      <c r="H28" s="11">
        <f t="shared" si="0"/>
        <v>2.5</v>
      </c>
      <c r="I28" s="11">
        <f t="shared" si="1"/>
        <v>3</v>
      </c>
      <c r="J28" s="9" t="s">
        <v>19</v>
      </c>
      <c r="K28" s="9" t="s">
        <v>56</v>
      </c>
      <c r="L28" s="9" t="s">
        <v>83</v>
      </c>
      <c r="M28" s="8">
        <v>6</v>
      </c>
    </row>
    <row r="29" spans="1:13" x14ac:dyDescent="0.35">
      <c r="A29" s="4" t="s">
        <v>84</v>
      </c>
      <c r="B29" s="5" t="s">
        <v>85</v>
      </c>
      <c r="C29" s="4" t="s">
        <v>86</v>
      </c>
      <c r="D29" s="6">
        <v>0</v>
      </c>
      <c r="E29" s="6">
        <v>120</v>
      </c>
      <c r="F29" s="6">
        <v>0</v>
      </c>
      <c r="G29" s="6">
        <v>105</v>
      </c>
      <c r="H29" s="7">
        <f t="shared" si="0"/>
        <v>-120</v>
      </c>
      <c r="I29" s="7">
        <f t="shared" si="1"/>
        <v>-105</v>
      </c>
      <c r="J29" s="5" t="s">
        <v>87</v>
      </c>
      <c r="K29" s="5" t="s">
        <v>86</v>
      </c>
      <c r="L29" s="5" t="s">
        <v>88</v>
      </c>
      <c r="M29" s="4">
        <v>7</v>
      </c>
    </row>
    <row r="30" spans="1:13" x14ac:dyDescent="0.35">
      <c r="A30" s="8" t="s">
        <v>89</v>
      </c>
      <c r="B30" s="9" t="s">
        <v>90</v>
      </c>
      <c r="C30" s="8" t="s">
        <v>86</v>
      </c>
      <c r="D30" s="10">
        <v>0</v>
      </c>
      <c r="E30" s="10">
        <v>2</v>
      </c>
      <c r="F30" s="10">
        <v>0</v>
      </c>
      <c r="G30" s="10">
        <v>1.5</v>
      </c>
      <c r="H30" s="11">
        <f t="shared" si="0"/>
        <v>-2</v>
      </c>
      <c r="I30" s="11">
        <f t="shared" si="1"/>
        <v>-1.5</v>
      </c>
      <c r="J30" s="9" t="s">
        <v>87</v>
      </c>
      <c r="K30" s="9" t="s">
        <v>86</v>
      </c>
      <c r="L30" s="9" t="s">
        <v>91</v>
      </c>
      <c r="M30" s="8">
        <v>8</v>
      </c>
    </row>
    <row r="31" spans="1:13" x14ac:dyDescent="0.35">
      <c r="A31" s="4" t="s">
        <v>92</v>
      </c>
      <c r="B31" s="5" t="s">
        <v>93</v>
      </c>
      <c r="C31" s="4" t="s">
        <v>94</v>
      </c>
      <c r="D31" s="6">
        <v>65</v>
      </c>
      <c r="E31" s="6">
        <v>0</v>
      </c>
      <c r="F31" s="6">
        <v>58</v>
      </c>
      <c r="G31" s="6">
        <v>0</v>
      </c>
      <c r="H31" s="7">
        <f t="shared" si="0"/>
        <v>65</v>
      </c>
      <c r="I31" s="7">
        <f t="shared" si="1"/>
        <v>58</v>
      </c>
      <c r="J31" s="5" t="s">
        <v>87</v>
      </c>
      <c r="K31" s="5" t="s">
        <v>95</v>
      </c>
      <c r="L31" s="5" t="s">
        <v>93</v>
      </c>
      <c r="M31" s="4">
        <v>9</v>
      </c>
    </row>
    <row r="32" spans="1:13" x14ac:dyDescent="0.35">
      <c r="A32" s="8" t="s">
        <v>96</v>
      </c>
      <c r="B32" s="9" t="s">
        <v>97</v>
      </c>
      <c r="C32" s="8" t="s">
        <v>94</v>
      </c>
      <c r="D32" s="10">
        <v>22</v>
      </c>
      <c r="E32" s="10">
        <v>0</v>
      </c>
      <c r="F32" s="10">
        <v>19.5</v>
      </c>
      <c r="G32" s="10">
        <v>0</v>
      </c>
      <c r="H32" s="11">
        <f t="shared" si="0"/>
        <v>22</v>
      </c>
      <c r="I32" s="11">
        <f t="shared" si="1"/>
        <v>19.5</v>
      </c>
      <c r="J32" s="9" t="s">
        <v>87</v>
      </c>
      <c r="K32" s="9" t="s">
        <v>95</v>
      </c>
      <c r="L32" s="9" t="s">
        <v>98</v>
      </c>
      <c r="M32" s="8">
        <v>10</v>
      </c>
    </row>
    <row r="33" spans="1:13" x14ac:dyDescent="0.35">
      <c r="A33" s="4" t="s">
        <v>99</v>
      </c>
      <c r="B33" s="5" t="s">
        <v>100</v>
      </c>
      <c r="C33" s="4" t="s">
        <v>94</v>
      </c>
      <c r="D33" s="6">
        <v>3.2</v>
      </c>
      <c r="E33" s="6">
        <v>0</v>
      </c>
      <c r="F33" s="6">
        <v>3.5</v>
      </c>
      <c r="G33" s="6">
        <v>0</v>
      </c>
      <c r="H33" s="7">
        <f t="shared" si="0"/>
        <v>3.2</v>
      </c>
      <c r="I33" s="7">
        <f t="shared" si="1"/>
        <v>3.5</v>
      </c>
      <c r="J33" s="5" t="s">
        <v>87</v>
      </c>
      <c r="K33" s="5" t="s">
        <v>95</v>
      </c>
      <c r="L33" s="5" t="s">
        <v>101</v>
      </c>
      <c r="M33" s="4">
        <v>11</v>
      </c>
    </row>
    <row r="34" spans="1:13" x14ac:dyDescent="0.35">
      <c r="A34" s="8" t="s">
        <v>102</v>
      </c>
      <c r="B34" s="9" t="s">
        <v>103</v>
      </c>
      <c r="C34" s="8" t="s">
        <v>94</v>
      </c>
      <c r="D34" s="10">
        <v>4</v>
      </c>
      <c r="E34" s="10">
        <v>0</v>
      </c>
      <c r="F34" s="10">
        <v>3.5</v>
      </c>
      <c r="G34" s="10">
        <v>0</v>
      </c>
      <c r="H34" s="11">
        <f t="shared" si="0"/>
        <v>4</v>
      </c>
      <c r="I34" s="11">
        <f t="shared" si="1"/>
        <v>3.5</v>
      </c>
      <c r="J34" s="9" t="s">
        <v>87</v>
      </c>
      <c r="K34" s="9" t="s">
        <v>95</v>
      </c>
      <c r="L34" s="9" t="s">
        <v>104</v>
      </c>
      <c r="M34" s="8">
        <v>12</v>
      </c>
    </row>
    <row r="35" spans="1:13" x14ac:dyDescent="0.35">
      <c r="A35" s="4" t="s">
        <v>105</v>
      </c>
      <c r="B35" s="5" t="s">
        <v>106</v>
      </c>
      <c r="C35" s="4" t="s">
        <v>94</v>
      </c>
      <c r="D35" s="6">
        <v>11</v>
      </c>
      <c r="E35" s="6">
        <v>0</v>
      </c>
      <c r="F35" s="6">
        <v>10</v>
      </c>
      <c r="G35" s="6">
        <v>0</v>
      </c>
      <c r="H35" s="7">
        <f t="shared" si="0"/>
        <v>11</v>
      </c>
      <c r="I35" s="7">
        <f t="shared" si="1"/>
        <v>10</v>
      </c>
      <c r="J35" s="5" t="s">
        <v>87</v>
      </c>
      <c r="K35" s="5" t="s">
        <v>95</v>
      </c>
      <c r="L35" s="5" t="s">
        <v>107</v>
      </c>
      <c r="M35" s="4">
        <v>13</v>
      </c>
    </row>
    <row r="36" spans="1:13" x14ac:dyDescent="0.35">
      <c r="A36" s="8" t="s">
        <v>108</v>
      </c>
      <c r="B36" s="9" t="s">
        <v>109</v>
      </c>
      <c r="C36" s="8" t="s">
        <v>94</v>
      </c>
      <c r="D36" s="10">
        <v>2.8</v>
      </c>
      <c r="E36" s="10">
        <v>0</v>
      </c>
      <c r="F36" s="10">
        <v>2.5</v>
      </c>
      <c r="G36" s="10">
        <v>0</v>
      </c>
      <c r="H36" s="11">
        <f t="shared" si="0"/>
        <v>2.8</v>
      </c>
      <c r="I36" s="11">
        <f t="shared" si="1"/>
        <v>2.5</v>
      </c>
      <c r="J36" s="9" t="s">
        <v>87</v>
      </c>
      <c r="K36" s="9" t="s">
        <v>95</v>
      </c>
      <c r="L36" s="9" t="s">
        <v>110</v>
      </c>
      <c r="M36" s="8">
        <v>14</v>
      </c>
    </row>
    <row r="37" spans="1:13" x14ac:dyDescent="0.35">
      <c r="A37" s="4" t="s">
        <v>111</v>
      </c>
      <c r="B37" s="5" t="s">
        <v>112</v>
      </c>
      <c r="C37" s="4" t="s">
        <v>94</v>
      </c>
      <c r="D37" s="6">
        <v>0</v>
      </c>
      <c r="E37" s="6">
        <v>0</v>
      </c>
      <c r="F37" s="6">
        <v>4.5</v>
      </c>
      <c r="G37" s="6">
        <v>0</v>
      </c>
      <c r="H37" s="7">
        <f t="shared" si="0"/>
        <v>0</v>
      </c>
      <c r="I37" s="7">
        <f t="shared" si="1"/>
        <v>4.5</v>
      </c>
      <c r="J37" s="5" t="s">
        <v>87</v>
      </c>
      <c r="K37" s="5" t="s">
        <v>95</v>
      </c>
      <c r="L37" s="5" t="s">
        <v>110</v>
      </c>
      <c r="M37" s="4">
        <v>14</v>
      </c>
    </row>
    <row r="38" spans="1:13" x14ac:dyDescent="0.35">
      <c r="A38" s="8" t="s">
        <v>113</v>
      </c>
      <c r="B38" s="9" t="s">
        <v>114</v>
      </c>
      <c r="C38" s="8" t="s">
        <v>18</v>
      </c>
      <c r="D38" s="10">
        <v>7</v>
      </c>
      <c r="E38" s="10">
        <v>0</v>
      </c>
      <c r="F38" s="10">
        <v>0</v>
      </c>
      <c r="G38" s="10">
        <v>0</v>
      </c>
      <c r="H38" s="11">
        <f t="shared" si="0"/>
        <v>7</v>
      </c>
      <c r="I38" s="11">
        <f t="shared" si="1"/>
        <v>0</v>
      </c>
      <c r="J38" s="9" t="s">
        <v>19</v>
      </c>
      <c r="K38" s="9" t="s">
        <v>20</v>
      </c>
      <c r="L38" s="9" t="s">
        <v>24</v>
      </c>
      <c r="M38" s="8">
        <v>2</v>
      </c>
    </row>
    <row r="39" spans="1:13" x14ac:dyDescent="0.35">
      <c r="A39" s="12"/>
      <c r="B39" s="13" t="s">
        <v>115</v>
      </c>
      <c r="C39" s="12"/>
      <c r="D39" s="14">
        <f t="shared" ref="D39:I39" si="2">SUM(D7:D38)</f>
        <v>231</v>
      </c>
      <c r="E39" s="14">
        <f t="shared" si="2"/>
        <v>231</v>
      </c>
      <c r="F39" s="14">
        <f t="shared" si="2"/>
        <v>206</v>
      </c>
      <c r="G39" s="14">
        <f t="shared" si="2"/>
        <v>206</v>
      </c>
      <c r="H39" s="15">
        <f t="shared" si="2"/>
        <v>0</v>
      </c>
      <c r="I39" s="15">
        <f t="shared" si="2"/>
        <v>0</v>
      </c>
      <c r="J39" s="12"/>
      <c r="K39" s="12"/>
      <c r="L39" s="12"/>
      <c r="M39" s="12"/>
    </row>
    <row r="41" spans="1:13" x14ac:dyDescent="0.35">
      <c r="B41" s="16" t="s">
        <v>116</v>
      </c>
      <c r="D41" s="17" t="str">
        <f>IF(ROUND(D39-E39,2)=0,"✓ CY BALANCED","❌ OUT OF BALANCE")</f>
        <v>✓ CY BALANCED</v>
      </c>
      <c r="F41" s="17" t="str">
        <f>IF(ROUND(F39-G39,2)=0,"✓ PY BALANCED","❌ OUT OF BALANCE")</f>
        <v>✓ PY BALANCED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33"/>
  <sheetViews>
    <sheetView topLeftCell="A15" workbookViewId="0">
      <selection activeCell="E13" sqref="E13"/>
    </sheetView>
  </sheetViews>
  <sheetFormatPr defaultRowHeight="14.5" x14ac:dyDescent="0.35"/>
  <cols>
    <col min="1" max="1" width="4" customWidth="1"/>
    <col min="2" max="2" width="42" customWidth="1"/>
    <col min="3" max="3" width="12" customWidth="1"/>
    <col min="4" max="5" width="24" customWidth="1"/>
  </cols>
  <sheetData>
    <row r="2" spans="2:5" ht="19.5" x14ac:dyDescent="0.45">
      <c r="B2" s="1" t="s">
        <v>0</v>
      </c>
    </row>
    <row r="3" spans="2:5" ht="15.5" x14ac:dyDescent="0.35">
      <c r="B3" s="18" t="s">
        <v>117</v>
      </c>
    </row>
    <row r="4" spans="2:5" x14ac:dyDescent="0.35">
      <c r="B4" s="2" t="s">
        <v>118</v>
      </c>
    </row>
    <row r="6" spans="2:5" x14ac:dyDescent="0.35">
      <c r="B6" s="19" t="s">
        <v>119</v>
      </c>
      <c r="C6" s="3" t="s">
        <v>15</v>
      </c>
      <c r="D6" s="20" t="s">
        <v>120</v>
      </c>
      <c r="E6" s="20" t="s">
        <v>121</v>
      </c>
    </row>
    <row r="7" spans="2:5" x14ac:dyDescent="0.35">
      <c r="B7" s="21" t="s">
        <v>122</v>
      </c>
      <c r="C7" s="22"/>
      <c r="D7" s="23"/>
      <c r="E7" s="23"/>
    </row>
    <row r="8" spans="2:5" x14ac:dyDescent="0.35">
      <c r="B8" s="21" t="s">
        <v>123</v>
      </c>
      <c r="C8" s="22"/>
      <c r="D8" s="23"/>
      <c r="E8" s="23"/>
    </row>
    <row r="9" spans="2:5" x14ac:dyDescent="0.35">
      <c r="B9" s="5" t="s">
        <v>124</v>
      </c>
      <c r="C9" s="4">
        <v>1</v>
      </c>
      <c r="D9" s="6">
        <f>'Trial Balance &amp; Mapping'!E7</f>
        <v>20</v>
      </c>
      <c r="E9" s="6">
        <f>'Trial Balance &amp; Mapping'!G7</f>
        <v>20</v>
      </c>
    </row>
    <row r="10" spans="2:5" x14ac:dyDescent="0.35">
      <c r="B10" s="5" t="s">
        <v>125</v>
      </c>
      <c r="C10" s="4">
        <v>2</v>
      </c>
      <c r="D10" s="6">
        <f>'Trial Balance &amp; Mapping'!E8+'Trial Balance &amp; Mapping'!E9+'Trial Balance &amp; Mapping'!D32</f>
        <v>50</v>
      </c>
      <c r="E10" s="6">
        <f>'Trial Balance &amp; Mapping'!G8+'Trial Balance &amp; Mapping'!G9</f>
        <v>23</v>
      </c>
    </row>
    <row r="11" spans="2:5" x14ac:dyDescent="0.35">
      <c r="B11" s="21" t="s">
        <v>126</v>
      </c>
      <c r="C11" s="22"/>
      <c r="D11" s="23"/>
      <c r="E11" s="23"/>
    </row>
    <row r="12" spans="2:5" x14ac:dyDescent="0.35">
      <c r="B12" s="5" t="s">
        <v>127</v>
      </c>
      <c r="C12" s="4">
        <v>3</v>
      </c>
      <c r="D12" s="6">
        <f>'Trial Balance &amp; Mapping'!E10</f>
        <v>10</v>
      </c>
      <c r="E12" s="6">
        <f>'Trial Balance &amp; Mapping'!G10</f>
        <v>12</v>
      </c>
    </row>
    <row r="13" spans="2:5" x14ac:dyDescent="0.35">
      <c r="B13" s="5" t="s">
        <v>128</v>
      </c>
      <c r="C13" s="4">
        <v>3</v>
      </c>
      <c r="D13" s="6">
        <f>'Trial Balance &amp; Mapping'!E11</f>
        <v>3.5</v>
      </c>
      <c r="E13" s="6">
        <f>'Trial Balance &amp; Mapping'!G11</f>
        <v>4</v>
      </c>
    </row>
    <row r="14" spans="2:5" x14ac:dyDescent="0.35">
      <c r="B14" s="5" t="s">
        <v>129</v>
      </c>
      <c r="C14" s="4">
        <v>3</v>
      </c>
      <c r="D14" s="6">
        <f>'Trial Balance &amp; Mapping'!E12</f>
        <v>1.5</v>
      </c>
      <c r="E14" s="6">
        <f>'Trial Balance &amp; Mapping'!G12</f>
        <v>2</v>
      </c>
    </row>
    <row r="15" spans="2:5" x14ac:dyDescent="0.35">
      <c r="B15" s="21" t="s">
        <v>130</v>
      </c>
      <c r="C15" s="22"/>
      <c r="D15" s="23"/>
      <c r="E15" s="23"/>
    </row>
    <row r="16" spans="2:5" x14ac:dyDescent="0.35">
      <c r="B16" s="5" t="s">
        <v>131</v>
      </c>
      <c r="C16" s="4">
        <v>4</v>
      </c>
      <c r="D16" s="6">
        <f>'Trial Balance &amp; Mapping'!E13</f>
        <v>12</v>
      </c>
      <c r="E16" s="6">
        <f>'Trial Balance &amp; Mapping'!G13</f>
        <v>10</v>
      </c>
    </row>
    <row r="17" spans="2:5" x14ac:dyDescent="0.35">
      <c r="B17" s="5" t="s">
        <v>132</v>
      </c>
      <c r="C17" s="4">
        <v>4</v>
      </c>
      <c r="D17" s="6">
        <f>'Trial Balance &amp; Mapping'!E14+'Trial Balance &amp; Mapping'!E15</f>
        <v>15</v>
      </c>
      <c r="E17" s="6">
        <f>'Trial Balance &amp; Mapping'!G14+'Trial Balance &amp; Mapping'!G15</f>
        <v>13</v>
      </c>
    </row>
    <row r="18" spans="2:5" x14ac:dyDescent="0.35">
      <c r="B18" s="5" t="s">
        <v>133</v>
      </c>
      <c r="C18" s="4">
        <v>4</v>
      </c>
      <c r="D18" s="6">
        <f>'Trial Balance &amp; Mapping'!E16+'Trial Balance &amp; Mapping'!E17</f>
        <v>5.2</v>
      </c>
      <c r="E18" s="6">
        <f>'Trial Balance &amp; Mapping'!G16+'Trial Balance &amp; Mapping'!G17</f>
        <v>4.5</v>
      </c>
    </row>
    <row r="19" spans="2:5" x14ac:dyDescent="0.35">
      <c r="B19" s="5" t="s">
        <v>134</v>
      </c>
      <c r="C19" s="4">
        <v>4</v>
      </c>
      <c r="D19" s="6">
        <f>'Trial Balance &amp; Mapping'!E18</f>
        <v>2.8</v>
      </c>
      <c r="E19" s="6">
        <f>'Trial Balance &amp; Mapping'!G18</f>
        <v>2.5</v>
      </c>
    </row>
    <row r="20" spans="2:5" x14ac:dyDescent="0.35">
      <c r="B20" s="24" t="s">
        <v>135</v>
      </c>
      <c r="C20" s="25"/>
      <c r="D20" s="26">
        <f>SUM(D9:D10,D12:D14,D16:D19)</f>
        <v>120</v>
      </c>
      <c r="E20" s="26">
        <f>SUM(E9:E10,E12:E14,E16:E19)</f>
        <v>91</v>
      </c>
    </row>
    <row r="21" spans="2:5" x14ac:dyDescent="0.35">
      <c r="B21" s="21" t="s">
        <v>136</v>
      </c>
      <c r="C21" s="22"/>
      <c r="D21" s="23"/>
      <c r="E21" s="23"/>
    </row>
    <row r="22" spans="2:5" x14ac:dyDescent="0.35">
      <c r="B22" s="21" t="s">
        <v>137</v>
      </c>
      <c r="C22" s="22"/>
      <c r="D22" s="23"/>
      <c r="E22" s="23"/>
    </row>
    <row r="23" spans="2:5" x14ac:dyDescent="0.35">
      <c r="B23" s="5" t="s">
        <v>138</v>
      </c>
      <c r="C23" s="4">
        <v>5</v>
      </c>
      <c r="D23" s="6">
        <f>'Trial Balance &amp; Mapping'!D19+'Trial Balance &amp; Mapping'!D20-'Trial Balance &amp; Mapping'!E21</f>
        <v>43</v>
      </c>
      <c r="E23" s="6">
        <f>'Trial Balance &amp; Mapping'!F19+'Trial Balance &amp; Mapping'!F20-'Trial Balance &amp; Mapping'!G21</f>
        <v>39.5</v>
      </c>
    </row>
    <row r="24" spans="2:5" x14ac:dyDescent="0.35">
      <c r="B24" s="5" t="s">
        <v>139</v>
      </c>
      <c r="C24" s="4">
        <v>5</v>
      </c>
      <c r="D24" s="6">
        <f>'Trial Balance &amp; Mapping'!D22</f>
        <v>3</v>
      </c>
      <c r="E24" s="6">
        <f>'Trial Balance &amp; Mapping'!F22</f>
        <v>2.5</v>
      </c>
    </row>
    <row r="25" spans="2:5" x14ac:dyDescent="0.35">
      <c r="B25" s="5" t="s">
        <v>140</v>
      </c>
      <c r="C25" s="4">
        <v>5</v>
      </c>
      <c r="D25" s="6">
        <f>'Trial Balance &amp; Mapping'!D23</f>
        <v>2</v>
      </c>
      <c r="E25" s="6">
        <f>'Trial Balance &amp; Mapping'!F23</f>
        <v>2</v>
      </c>
    </row>
    <row r="26" spans="2:5" x14ac:dyDescent="0.35">
      <c r="B26" s="21" t="s">
        <v>141</v>
      </c>
      <c r="C26" s="22"/>
      <c r="D26" s="23"/>
      <c r="E26" s="23"/>
    </row>
    <row r="27" spans="2:5" x14ac:dyDescent="0.35">
      <c r="B27" s="5" t="s">
        <v>142</v>
      </c>
      <c r="C27" s="4">
        <v>6</v>
      </c>
      <c r="D27" s="6">
        <f>'Trial Balance &amp; Mapping'!D24+'Trial Balance &amp; Mapping'!D25</f>
        <v>28</v>
      </c>
      <c r="E27" s="6">
        <f>'Trial Balance &amp; Mapping'!F24+'Trial Balance &amp; Mapping'!F25</f>
        <v>25</v>
      </c>
    </row>
    <row r="28" spans="2:5" x14ac:dyDescent="0.35">
      <c r="B28" s="5" t="s">
        <v>143</v>
      </c>
      <c r="C28" s="4">
        <v>6</v>
      </c>
      <c r="D28" s="6">
        <f>'Trial Balance &amp; Mapping'!D26</f>
        <v>20</v>
      </c>
      <c r="E28" s="6">
        <f>'Trial Balance &amp; Mapping'!F26</f>
        <v>18</v>
      </c>
    </row>
    <row r="29" spans="2:5" x14ac:dyDescent="0.35">
      <c r="B29" s="5" t="s">
        <v>144</v>
      </c>
      <c r="C29" s="4">
        <v>6</v>
      </c>
      <c r="D29" s="6">
        <f>'Trial Balance &amp; Mapping'!D27</f>
        <v>6.5</v>
      </c>
      <c r="E29" s="6">
        <f>'Trial Balance &amp; Mapping'!F27</f>
        <v>6</v>
      </c>
    </row>
    <row r="30" spans="2:5" x14ac:dyDescent="0.35">
      <c r="B30" s="5" t="s">
        <v>145</v>
      </c>
      <c r="C30" s="4">
        <v>6</v>
      </c>
      <c r="D30" s="6">
        <f>'Trial Balance &amp; Mapping'!D28</f>
        <v>2.5</v>
      </c>
      <c r="E30" s="6">
        <f>'Trial Balance &amp; Mapping'!F28</f>
        <v>3</v>
      </c>
    </row>
    <row r="31" spans="2:5" x14ac:dyDescent="0.35">
      <c r="B31" s="24" t="s">
        <v>146</v>
      </c>
      <c r="C31" s="25"/>
      <c r="D31" s="26">
        <f>SUM(D23:D25,D27:D30)</f>
        <v>105</v>
      </c>
      <c r="E31" s="26">
        <f>SUM(E23:E25,E27:E30)</f>
        <v>96</v>
      </c>
    </row>
    <row r="33" spans="2:5" x14ac:dyDescent="0.35">
      <c r="B33" s="16" t="s">
        <v>147</v>
      </c>
      <c r="D33" s="27" t="str">
        <f>IF(ROUND(D31-D20,2)=0,"✓ CY BALANCED (105.00)","❌ MISMATCH")</f>
        <v>❌ MISMATCH</v>
      </c>
      <c r="E33" s="27" t="str">
        <f>IF(ROUND(E31-E20,2)=0,"✓ PY BALANCED (96.00)","❌ MISMATCH")</f>
        <v>❌ MISMATCH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42"/>
  <sheetViews>
    <sheetView workbookViewId="0"/>
  </sheetViews>
  <sheetFormatPr defaultRowHeight="14.5" x14ac:dyDescent="0.35"/>
  <cols>
    <col min="1" max="1" width="4" customWidth="1"/>
    <col min="2" max="2" width="12" customWidth="1"/>
    <col min="3" max="3" width="56" customWidth="1"/>
    <col min="4" max="5" width="22" customWidth="1"/>
  </cols>
  <sheetData>
    <row r="2" spans="2:5" ht="19.5" x14ac:dyDescent="0.45">
      <c r="B2" s="1" t="s">
        <v>0</v>
      </c>
    </row>
    <row r="3" spans="2:5" ht="15.5" x14ac:dyDescent="0.35">
      <c r="B3" s="18" t="s">
        <v>148</v>
      </c>
    </row>
    <row r="4" spans="2:5" x14ac:dyDescent="0.35">
      <c r="B4" s="2" t="s">
        <v>149</v>
      </c>
    </row>
    <row r="6" spans="2:5" x14ac:dyDescent="0.35">
      <c r="B6" s="3" t="s">
        <v>15</v>
      </c>
      <c r="C6" s="19" t="s">
        <v>150</v>
      </c>
      <c r="D6" s="20" t="s">
        <v>120</v>
      </c>
      <c r="E6" s="20" t="s">
        <v>121</v>
      </c>
    </row>
    <row r="7" spans="2:5" x14ac:dyDescent="0.35">
      <c r="B7" s="28">
        <v>1</v>
      </c>
      <c r="C7" s="29" t="s">
        <v>151</v>
      </c>
      <c r="D7" s="30"/>
      <c r="E7" s="30"/>
    </row>
    <row r="8" spans="2:5" x14ac:dyDescent="0.35">
      <c r="B8" s="4"/>
      <c r="C8" s="5" t="s">
        <v>152</v>
      </c>
      <c r="D8" s="6">
        <v>30</v>
      </c>
      <c r="E8" s="6">
        <v>30</v>
      </c>
    </row>
    <row r="9" spans="2:5" x14ac:dyDescent="0.35">
      <c r="B9" s="4"/>
      <c r="C9" s="5" t="s">
        <v>153</v>
      </c>
      <c r="D9" s="6">
        <v>20</v>
      </c>
      <c r="E9" s="6">
        <v>20</v>
      </c>
    </row>
    <row r="10" spans="2:5" x14ac:dyDescent="0.35">
      <c r="B10" s="25"/>
      <c r="C10" s="24" t="s">
        <v>154</v>
      </c>
      <c r="D10" s="26">
        <f>D9</f>
        <v>20</v>
      </c>
      <c r="E10" s="26">
        <f>E9</f>
        <v>20</v>
      </c>
    </row>
    <row r="11" spans="2:5" x14ac:dyDescent="0.35">
      <c r="B11" s="28">
        <v>2</v>
      </c>
      <c r="C11" s="29" t="s">
        <v>155</v>
      </c>
      <c r="D11" s="30"/>
      <c r="E11" s="30"/>
    </row>
    <row r="12" spans="2:5" x14ac:dyDescent="0.35">
      <c r="B12" s="4"/>
      <c r="C12" s="5" t="s">
        <v>156</v>
      </c>
      <c r="D12" s="6">
        <v>15</v>
      </c>
      <c r="E12" s="6">
        <v>15</v>
      </c>
    </row>
    <row r="13" spans="2:5" x14ac:dyDescent="0.35">
      <c r="B13" s="4"/>
      <c r="C13" s="5" t="s">
        <v>157</v>
      </c>
      <c r="D13" s="6">
        <v>13</v>
      </c>
      <c r="E13" s="6">
        <v>8</v>
      </c>
    </row>
    <row r="14" spans="2:5" x14ac:dyDescent="0.35">
      <c r="B14" s="4"/>
      <c r="C14" s="5" t="s">
        <v>158</v>
      </c>
      <c r="D14" s="6">
        <v>7</v>
      </c>
      <c r="E14" s="6">
        <v>5</v>
      </c>
    </row>
    <row r="15" spans="2:5" x14ac:dyDescent="0.35">
      <c r="B15" s="4"/>
      <c r="C15" s="5" t="s">
        <v>159</v>
      </c>
      <c r="D15" s="6">
        <f>D13+D14</f>
        <v>20</v>
      </c>
      <c r="E15" s="6">
        <f>E13+E14</f>
        <v>13</v>
      </c>
    </row>
    <row r="16" spans="2:5" x14ac:dyDescent="0.35">
      <c r="B16" s="25"/>
      <c r="C16" s="24" t="s">
        <v>160</v>
      </c>
      <c r="D16" s="26">
        <f>D12+D15</f>
        <v>35</v>
      </c>
      <c r="E16" s="26">
        <f>E12+E15</f>
        <v>28</v>
      </c>
    </row>
    <row r="17" spans="2:5" x14ac:dyDescent="0.35">
      <c r="B17" s="28">
        <v>3</v>
      </c>
      <c r="C17" s="29" t="s">
        <v>161</v>
      </c>
      <c r="D17" s="30"/>
      <c r="E17" s="30"/>
    </row>
    <row r="18" spans="2:5" x14ac:dyDescent="0.35">
      <c r="B18" s="4"/>
      <c r="C18" s="5" t="s">
        <v>162</v>
      </c>
      <c r="D18" s="6">
        <v>10</v>
      </c>
      <c r="E18" s="6">
        <v>12</v>
      </c>
    </row>
    <row r="19" spans="2:5" x14ac:dyDescent="0.35">
      <c r="B19" s="4"/>
      <c r="C19" s="5" t="s">
        <v>32</v>
      </c>
      <c r="D19" s="6">
        <v>3.5</v>
      </c>
      <c r="E19" s="6">
        <v>4</v>
      </c>
    </row>
    <row r="20" spans="2:5" x14ac:dyDescent="0.35">
      <c r="B20" s="4"/>
      <c r="C20" s="5" t="s">
        <v>163</v>
      </c>
      <c r="D20" s="6">
        <v>1.5</v>
      </c>
      <c r="E20" s="6">
        <v>2</v>
      </c>
    </row>
    <row r="21" spans="2:5" x14ac:dyDescent="0.35">
      <c r="B21" s="25"/>
      <c r="C21" s="24" t="s">
        <v>164</v>
      </c>
      <c r="D21" s="26">
        <f>SUM(D18:D20)</f>
        <v>15</v>
      </c>
      <c r="E21" s="26">
        <f>SUM(E18:E20)</f>
        <v>18</v>
      </c>
    </row>
    <row r="22" spans="2:5" x14ac:dyDescent="0.35">
      <c r="B22" s="28">
        <v>4</v>
      </c>
      <c r="C22" s="29" t="s">
        <v>165</v>
      </c>
      <c r="D22" s="30"/>
      <c r="E22" s="30"/>
    </row>
    <row r="23" spans="2:5" x14ac:dyDescent="0.35">
      <c r="B23" s="4"/>
      <c r="C23" s="5" t="s">
        <v>166</v>
      </c>
      <c r="D23" s="6">
        <v>12</v>
      </c>
      <c r="E23" s="6">
        <v>10</v>
      </c>
    </row>
    <row r="24" spans="2:5" x14ac:dyDescent="0.35">
      <c r="B24" s="4"/>
      <c r="C24" s="5" t="s">
        <v>167</v>
      </c>
      <c r="D24" s="6">
        <v>8.5</v>
      </c>
      <c r="E24" s="6">
        <v>7</v>
      </c>
    </row>
    <row r="25" spans="2:5" x14ac:dyDescent="0.35">
      <c r="B25" s="4"/>
      <c r="C25" s="5" t="s">
        <v>168</v>
      </c>
      <c r="D25" s="6">
        <v>6.5</v>
      </c>
      <c r="E25" s="6">
        <v>6</v>
      </c>
    </row>
    <row r="26" spans="2:5" x14ac:dyDescent="0.35">
      <c r="B26" s="4"/>
      <c r="C26" s="5" t="s">
        <v>46</v>
      </c>
      <c r="D26" s="6">
        <v>3</v>
      </c>
      <c r="E26" s="6">
        <v>2.5</v>
      </c>
    </row>
    <row r="27" spans="2:5" x14ac:dyDescent="0.35">
      <c r="B27" s="4"/>
      <c r="C27" s="5" t="s">
        <v>169</v>
      </c>
      <c r="D27" s="6">
        <v>2.2000000000000002</v>
      </c>
      <c r="E27" s="6">
        <v>2</v>
      </c>
    </row>
    <row r="28" spans="2:5" x14ac:dyDescent="0.35">
      <c r="B28" s="4"/>
      <c r="C28" s="5" t="s">
        <v>170</v>
      </c>
      <c r="D28" s="6">
        <v>2.8</v>
      </c>
      <c r="E28" s="6">
        <v>2.5</v>
      </c>
    </row>
    <row r="29" spans="2:5" x14ac:dyDescent="0.35">
      <c r="B29" s="25"/>
      <c r="C29" s="24" t="s">
        <v>171</v>
      </c>
      <c r="D29" s="26">
        <f>SUM(D23:D28)</f>
        <v>35</v>
      </c>
      <c r="E29" s="26">
        <f>SUM(E23:E28)</f>
        <v>30</v>
      </c>
    </row>
    <row r="30" spans="2:5" x14ac:dyDescent="0.35">
      <c r="B30" s="28">
        <v>5</v>
      </c>
      <c r="C30" s="29" t="s">
        <v>172</v>
      </c>
      <c r="D30" s="30"/>
      <c r="E30" s="30"/>
    </row>
    <row r="31" spans="2:5" x14ac:dyDescent="0.35">
      <c r="B31" s="4"/>
      <c r="C31" s="5" t="s">
        <v>173</v>
      </c>
      <c r="D31" s="6">
        <v>31</v>
      </c>
      <c r="E31" s="6">
        <v>29.5</v>
      </c>
    </row>
    <row r="32" spans="2:5" x14ac:dyDescent="0.35">
      <c r="B32" s="4"/>
      <c r="C32" s="5" t="s">
        <v>59</v>
      </c>
      <c r="D32" s="6">
        <v>12</v>
      </c>
      <c r="E32" s="6">
        <v>10</v>
      </c>
    </row>
    <row r="33" spans="2:5" x14ac:dyDescent="0.35">
      <c r="B33" s="4"/>
      <c r="C33" s="5" t="s">
        <v>174</v>
      </c>
      <c r="D33" s="6">
        <v>3</v>
      </c>
      <c r="E33" s="6">
        <v>2.5</v>
      </c>
    </row>
    <row r="34" spans="2:5" x14ac:dyDescent="0.35">
      <c r="B34" s="4"/>
      <c r="C34" s="5" t="s">
        <v>175</v>
      </c>
      <c r="D34" s="6">
        <v>2</v>
      </c>
      <c r="E34" s="6">
        <v>2</v>
      </c>
    </row>
    <row r="35" spans="2:5" x14ac:dyDescent="0.35">
      <c r="B35" s="25"/>
      <c r="C35" s="24" t="s">
        <v>176</v>
      </c>
      <c r="D35" s="26">
        <f>SUM(D31:D34)</f>
        <v>48</v>
      </c>
      <c r="E35" s="26">
        <f>SUM(E31:E34)</f>
        <v>44</v>
      </c>
    </row>
    <row r="36" spans="2:5" x14ac:dyDescent="0.35">
      <c r="B36" s="28">
        <v>6</v>
      </c>
      <c r="C36" s="29" t="s">
        <v>177</v>
      </c>
      <c r="D36" s="30"/>
      <c r="E36" s="30"/>
    </row>
    <row r="37" spans="2:5" x14ac:dyDescent="0.35">
      <c r="B37" s="4"/>
      <c r="C37" s="5" t="s">
        <v>178</v>
      </c>
      <c r="D37" s="6">
        <v>16</v>
      </c>
      <c r="E37" s="6">
        <v>14</v>
      </c>
    </row>
    <row r="38" spans="2:5" x14ac:dyDescent="0.35">
      <c r="B38" s="4"/>
      <c r="C38" s="5" t="s">
        <v>179</v>
      </c>
      <c r="D38" s="6">
        <v>12</v>
      </c>
      <c r="E38" s="6">
        <v>11</v>
      </c>
    </row>
    <row r="39" spans="2:5" x14ac:dyDescent="0.35">
      <c r="B39" s="4"/>
      <c r="C39" s="5" t="s">
        <v>180</v>
      </c>
      <c r="D39" s="6">
        <v>20</v>
      </c>
      <c r="E39" s="6">
        <v>18</v>
      </c>
    </row>
    <row r="40" spans="2:5" x14ac:dyDescent="0.35">
      <c r="B40" s="4"/>
      <c r="C40" s="5" t="s">
        <v>181</v>
      </c>
      <c r="D40" s="6">
        <v>6.5</v>
      </c>
      <c r="E40" s="6">
        <v>6</v>
      </c>
    </row>
    <row r="41" spans="2:5" x14ac:dyDescent="0.35">
      <c r="B41" s="4"/>
      <c r="C41" s="5" t="s">
        <v>182</v>
      </c>
      <c r="D41" s="6">
        <v>2.5</v>
      </c>
      <c r="E41" s="6">
        <v>3</v>
      </c>
    </row>
    <row r="42" spans="2:5" x14ac:dyDescent="0.35">
      <c r="B42" s="25"/>
      <c r="C42" s="24" t="s">
        <v>183</v>
      </c>
      <c r="D42" s="26">
        <f>SUM(D37:D41)</f>
        <v>57</v>
      </c>
      <c r="E42" s="26">
        <f>SUM(E37:E41)</f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 Balance &amp; Mapping</vt:lpstr>
      <vt:lpstr>Schedule III - Balance Sheet</vt:lpstr>
      <vt:lpstr>Notes to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Bonela Narasingarao</cp:lastModifiedBy>
  <dcterms:created xsi:type="dcterms:W3CDTF">2026-10-14T04:43:25Z</dcterms:created>
  <dcterms:modified xsi:type="dcterms:W3CDTF">2026-10-14T09:42:18Z</dcterms:modified>
</cp:coreProperties>
</file>