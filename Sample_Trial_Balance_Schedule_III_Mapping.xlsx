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RAO\FUTURE PROOF INDIA\PROJECTS\FSWB1\"/>
    </mc:Choice>
  </mc:AlternateContent>
  <xr:revisionPtr revIDLastSave="0" documentId="11_A2167166F2D6B457441E01FE2BCD6990E4DD7349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Read Me" sheetId="1" r:id="rId1"/>
    <sheet name="Trial Balance" sheetId="2" r:id="rId2"/>
    <sheet name="Mapping" sheetId="3" r:id="rId3"/>
    <sheet name="Balance Sheet" sheetId="4" r:id="rId4"/>
    <sheet name="Statement of P&amp;L" sheetId="5" r:id="rId5"/>
    <sheet name="Checks" sheetId="6" r:id="rId6"/>
  </sheets>
  <definedNames>
    <definedName name="_xlnm._FilterDatabase" localSheetId="1" hidden="1">'Trial Balance'!$A$4:$O$94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6" l="1"/>
  <c r="D9" i="6"/>
  <c r="C9" i="6"/>
  <c r="E9" i="6" s="1"/>
  <c r="D8" i="6"/>
  <c r="D7" i="6"/>
  <c r="C22" i="5"/>
  <c r="C21" i="5"/>
  <c r="E18" i="5"/>
  <c r="D18" i="5"/>
  <c r="C18" i="5"/>
  <c r="C15" i="5"/>
  <c r="E14" i="5"/>
  <c r="D14" i="5"/>
  <c r="C8" i="6" s="1"/>
  <c r="E8" i="6" s="1"/>
  <c r="C14" i="5"/>
  <c r="E13" i="5"/>
  <c r="D13" i="5"/>
  <c r="C13" i="5"/>
  <c r="E12" i="5"/>
  <c r="D12" i="5"/>
  <c r="C12" i="5"/>
  <c r="E11" i="5"/>
  <c r="D11" i="5"/>
  <c r="C11" i="5"/>
  <c r="E10" i="5"/>
  <c r="D10" i="5"/>
  <c r="C10" i="5"/>
  <c r="E9" i="5"/>
  <c r="D9" i="5"/>
  <c r="C9" i="5"/>
  <c r="E6" i="5"/>
  <c r="D6" i="5"/>
  <c r="C6" i="5"/>
  <c r="E5" i="5"/>
  <c r="E7" i="5" s="1"/>
  <c r="D5" i="5"/>
  <c r="D7" i="5" s="1"/>
  <c r="C5" i="5"/>
  <c r="E42" i="4"/>
  <c r="D42" i="4"/>
  <c r="C42" i="4"/>
  <c r="E41" i="4"/>
  <c r="D41" i="4"/>
  <c r="C41" i="4"/>
  <c r="E40" i="4"/>
  <c r="D40" i="4"/>
  <c r="C40" i="4"/>
  <c r="E39" i="4"/>
  <c r="D39" i="4"/>
  <c r="C39" i="4"/>
  <c r="E38" i="4"/>
  <c r="D38" i="4"/>
  <c r="C38" i="4"/>
  <c r="E37" i="4"/>
  <c r="D37" i="4"/>
  <c r="C37" i="4"/>
  <c r="E36" i="4"/>
  <c r="E43" i="4" s="1"/>
  <c r="D36" i="4"/>
  <c r="D43" i="4" s="1"/>
  <c r="C36" i="4"/>
  <c r="E33" i="4"/>
  <c r="D33" i="4"/>
  <c r="C33" i="4"/>
  <c r="E32" i="4"/>
  <c r="D32" i="4"/>
  <c r="C32" i="4"/>
  <c r="E31" i="4"/>
  <c r="D31" i="4"/>
  <c r="C31" i="4"/>
  <c r="E30" i="4"/>
  <c r="D30" i="4"/>
  <c r="C30" i="4"/>
  <c r="E29" i="4"/>
  <c r="D29" i="4"/>
  <c r="C29" i="4"/>
  <c r="E28" i="4"/>
  <c r="D28" i="4"/>
  <c r="C28" i="4"/>
  <c r="E27" i="4"/>
  <c r="D27" i="4"/>
  <c r="C27" i="4"/>
  <c r="E26" i="4"/>
  <c r="E34" i="4" s="1"/>
  <c r="E44" i="4" s="1"/>
  <c r="D26" i="4"/>
  <c r="D34" i="4" s="1"/>
  <c r="D44" i="4" s="1"/>
  <c r="C26" i="4"/>
  <c r="E20" i="4"/>
  <c r="D20" i="4"/>
  <c r="C20" i="4"/>
  <c r="E19" i="4"/>
  <c r="D19" i="4"/>
  <c r="C19" i="4"/>
  <c r="E18" i="4"/>
  <c r="D18" i="4"/>
  <c r="C18" i="4"/>
  <c r="E17" i="4"/>
  <c r="E21" i="4" s="1"/>
  <c r="D17" i="4"/>
  <c r="D21" i="4" s="1"/>
  <c r="C17" i="4"/>
  <c r="E14" i="4"/>
  <c r="E15" i="4" s="1"/>
  <c r="D14" i="4"/>
  <c r="D15" i="4" s="1"/>
  <c r="C14" i="4"/>
  <c r="E13" i="4"/>
  <c r="D13" i="4"/>
  <c r="C13" i="4"/>
  <c r="E12" i="4"/>
  <c r="D12" i="4"/>
  <c r="C12" i="4"/>
  <c r="E11" i="4"/>
  <c r="D11" i="4"/>
  <c r="C11" i="4"/>
  <c r="C8" i="4"/>
  <c r="E7" i="4"/>
  <c r="D7" i="4"/>
  <c r="C7" i="4"/>
  <c r="M95" i="2"/>
  <c r="L95" i="2"/>
  <c r="K95" i="2"/>
  <c r="J95" i="2"/>
  <c r="O94" i="2"/>
  <c r="E22" i="5" s="1"/>
  <c r="N94" i="2"/>
  <c r="D22" i="5" s="1"/>
  <c r="C10" i="6" s="1"/>
  <c r="E10" i="6" s="1"/>
  <c r="H94" i="2"/>
  <c r="G94" i="2"/>
  <c r="F94" i="2"/>
  <c r="E94" i="2"/>
  <c r="O93" i="2"/>
  <c r="E21" i="5" s="1"/>
  <c r="N93" i="2"/>
  <c r="D21" i="5" s="1"/>
  <c r="H93" i="2"/>
  <c r="G93" i="2"/>
  <c r="F93" i="2"/>
  <c r="E93" i="2"/>
  <c r="O92" i="2"/>
  <c r="N92" i="2"/>
  <c r="H92" i="2"/>
  <c r="G92" i="2"/>
  <c r="F92" i="2"/>
  <c r="E92" i="2"/>
  <c r="O91" i="2"/>
  <c r="N91" i="2"/>
  <c r="H91" i="2"/>
  <c r="G91" i="2"/>
  <c r="F91" i="2"/>
  <c r="E91" i="2"/>
  <c r="O90" i="2"/>
  <c r="N90" i="2"/>
  <c r="H90" i="2"/>
  <c r="G90" i="2"/>
  <c r="F90" i="2"/>
  <c r="E90" i="2"/>
  <c r="O89" i="2"/>
  <c r="N89" i="2"/>
  <c r="H89" i="2"/>
  <c r="G89" i="2"/>
  <c r="F89" i="2"/>
  <c r="E89" i="2"/>
  <c r="O88" i="2"/>
  <c r="N88" i="2"/>
  <c r="H88" i="2"/>
  <c r="G88" i="2"/>
  <c r="F88" i="2"/>
  <c r="E88" i="2"/>
  <c r="O87" i="2"/>
  <c r="N87" i="2"/>
  <c r="H87" i="2"/>
  <c r="G87" i="2"/>
  <c r="F87" i="2"/>
  <c r="E87" i="2"/>
  <c r="O86" i="2"/>
  <c r="N86" i="2"/>
  <c r="H86" i="2"/>
  <c r="G86" i="2"/>
  <c r="F86" i="2"/>
  <c r="E86" i="2"/>
  <c r="O85" i="2"/>
  <c r="N85" i="2"/>
  <c r="H85" i="2"/>
  <c r="G85" i="2"/>
  <c r="F85" i="2"/>
  <c r="E85" i="2"/>
  <c r="O84" i="2"/>
  <c r="N84" i="2"/>
  <c r="H84" i="2"/>
  <c r="G84" i="2"/>
  <c r="F84" i="2"/>
  <c r="E84" i="2"/>
  <c r="O83" i="2"/>
  <c r="N83" i="2"/>
  <c r="H83" i="2"/>
  <c r="G83" i="2"/>
  <c r="F83" i="2"/>
  <c r="E83" i="2"/>
  <c r="O82" i="2"/>
  <c r="N82" i="2"/>
  <c r="H82" i="2"/>
  <c r="G82" i="2"/>
  <c r="F82" i="2"/>
  <c r="E82" i="2"/>
  <c r="O81" i="2"/>
  <c r="N81" i="2"/>
  <c r="H81" i="2"/>
  <c r="G81" i="2"/>
  <c r="F81" i="2"/>
  <c r="E81" i="2"/>
  <c r="O80" i="2"/>
  <c r="N80" i="2"/>
  <c r="H80" i="2"/>
  <c r="G80" i="2"/>
  <c r="F80" i="2"/>
  <c r="E80" i="2"/>
  <c r="O79" i="2"/>
  <c r="N79" i="2"/>
  <c r="H79" i="2"/>
  <c r="G79" i="2"/>
  <c r="F79" i="2"/>
  <c r="E79" i="2"/>
  <c r="O78" i="2"/>
  <c r="N78" i="2"/>
  <c r="H78" i="2"/>
  <c r="G78" i="2"/>
  <c r="F78" i="2"/>
  <c r="E78" i="2"/>
  <c r="O77" i="2"/>
  <c r="N77" i="2"/>
  <c r="H77" i="2"/>
  <c r="G77" i="2"/>
  <c r="F77" i="2"/>
  <c r="E77" i="2"/>
  <c r="O76" i="2"/>
  <c r="N76" i="2"/>
  <c r="H76" i="2"/>
  <c r="G76" i="2"/>
  <c r="F76" i="2"/>
  <c r="E76" i="2"/>
  <c r="O75" i="2"/>
  <c r="N75" i="2"/>
  <c r="H75" i="2"/>
  <c r="G75" i="2"/>
  <c r="F75" i="2"/>
  <c r="E75" i="2"/>
  <c r="O74" i="2"/>
  <c r="N74" i="2"/>
  <c r="H74" i="2"/>
  <c r="G74" i="2"/>
  <c r="F74" i="2"/>
  <c r="E74" i="2"/>
  <c r="O73" i="2"/>
  <c r="N73" i="2"/>
  <c r="H73" i="2"/>
  <c r="G73" i="2"/>
  <c r="F73" i="2"/>
  <c r="E73" i="2"/>
  <c r="O72" i="2"/>
  <c r="N72" i="2"/>
  <c r="H72" i="2"/>
  <c r="G72" i="2"/>
  <c r="F72" i="2"/>
  <c r="E72" i="2"/>
  <c r="O71" i="2"/>
  <c r="N71" i="2"/>
  <c r="H71" i="2"/>
  <c r="G71" i="2"/>
  <c r="F71" i="2"/>
  <c r="E71" i="2"/>
  <c r="O70" i="2"/>
  <c r="N70" i="2"/>
  <c r="H70" i="2"/>
  <c r="G70" i="2"/>
  <c r="F70" i="2"/>
  <c r="E70" i="2"/>
  <c r="O69" i="2"/>
  <c r="N69" i="2"/>
  <c r="H69" i="2"/>
  <c r="G69" i="2"/>
  <c r="F69" i="2"/>
  <c r="E69" i="2"/>
  <c r="O68" i="2"/>
  <c r="N68" i="2"/>
  <c r="H68" i="2"/>
  <c r="G68" i="2"/>
  <c r="F68" i="2"/>
  <c r="E68" i="2"/>
  <c r="O67" i="2"/>
  <c r="N67" i="2"/>
  <c r="H67" i="2"/>
  <c r="G67" i="2"/>
  <c r="F67" i="2"/>
  <c r="E67" i="2"/>
  <c r="O66" i="2"/>
  <c r="N66" i="2"/>
  <c r="H66" i="2"/>
  <c r="G66" i="2"/>
  <c r="F66" i="2"/>
  <c r="E66" i="2"/>
  <c r="O65" i="2"/>
  <c r="N65" i="2"/>
  <c r="H65" i="2"/>
  <c r="G65" i="2"/>
  <c r="F65" i="2"/>
  <c r="E65" i="2"/>
  <c r="O64" i="2"/>
  <c r="N64" i="2"/>
  <c r="H64" i="2"/>
  <c r="G64" i="2"/>
  <c r="F64" i="2"/>
  <c r="E64" i="2"/>
  <c r="O63" i="2"/>
  <c r="N63" i="2"/>
  <c r="H63" i="2"/>
  <c r="G63" i="2"/>
  <c r="F63" i="2"/>
  <c r="E63" i="2"/>
  <c r="O62" i="2"/>
  <c r="N62" i="2"/>
  <c r="H62" i="2"/>
  <c r="G62" i="2"/>
  <c r="F62" i="2"/>
  <c r="E62" i="2"/>
  <c r="O61" i="2"/>
  <c r="N61" i="2"/>
  <c r="H61" i="2"/>
  <c r="G61" i="2"/>
  <c r="F61" i="2"/>
  <c r="E61" i="2"/>
  <c r="O60" i="2"/>
  <c r="N60" i="2"/>
  <c r="H60" i="2"/>
  <c r="G60" i="2"/>
  <c r="F60" i="2"/>
  <c r="E60" i="2"/>
  <c r="O59" i="2"/>
  <c r="N59" i="2"/>
  <c r="H59" i="2"/>
  <c r="G59" i="2"/>
  <c r="F59" i="2"/>
  <c r="E59" i="2"/>
  <c r="O58" i="2"/>
  <c r="N58" i="2"/>
  <c r="H58" i="2"/>
  <c r="G58" i="2"/>
  <c r="F58" i="2"/>
  <c r="E58" i="2"/>
  <c r="O57" i="2"/>
  <c r="N57" i="2"/>
  <c r="H57" i="2"/>
  <c r="G57" i="2"/>
  <c r="F57" i="2"/>
  <c r="E57" i="2"/>
  <c r="O56" i="2"/>
  <c r="N56" i="2"/>
  <c r="H56" i="2"/>
  <c r="G56" i="2"/>
  <c r="F56" i="2"/>
  <c r="E56" i="2"/>
  <c r="O55" i="2"/>
  <c r="N55" i="2"/>
  <c r="H55" i="2"/>
  <c r="G55" i="2"/>
  <c r="F55" i="2"/>
  <c r="E55" i="2"/>
  <c r="O54" i="2"/>
  <c r="N54" i="2"/>
  <c r="H54" i="2"/>
  <c r="G54" i="2"/>
  <c r="F54" i="2"/>
  <c r="E54" i="2"/>
  <c r="O53" i="2"/>
  <c r="N53" i="2"/>
  <c r="H53" i="2"/>
  <c r="G53" i="2"/>
  <c r="F53" i="2"/>
  <c r="E53" i="2"/>
  <c r="O52" i="2"/>
  <c r="N52" i="2"/>
  <c r="H52" i="2"/>
  <c r="G52" i="2"/>
  <c r="F52" i="2"/>
  <c r="E52" i="2"/>
  <c r="O51" i="2"/>
  <c r="N51" i="2"/>
  <c r="H51" i="2"/>
  <c r="G51" i="2"/>
  <c r="F51" i="2"/>
  <c r="E51" i="2"/>
  <c r="O50" i="2"/>
  <c r="N50" i="2"/>
  <c r="H50" i="2"/>
  <c r="G50" i="2"/>
  <c r="F50" i="2"/>
  <c r="E50" i="2"/>
  <c r="O49" i="2"/>
  <c r="N49" i="2"/>
  <c r="H49" i="2"/>
  <c r="G49" i="2"/>
  <c r="F49" i="2"/>
  <c r="E49" i="2"/>
  <c r="O48" i="2"/>
  <c r="N48" i="2"/>
  <c r="H48" i="2"/>
  <c r="G48" i="2"/>
  <c r="F48" i="2"/>
  <c r="E48" i="2"/>
  <c r="O47" i="2"/>
  <c r="N47" i="2"/>
  <c r="H47" i="2"/>
  <c r="G47" i="2"/>
  <c r="F47" i="2"/>
  <c r="E47" i="2"/>
  <c r="O46" i="2"/>
  <c r="N46" i="2"/>
  <c r="H46" i="2"/>
  <c r="G46" i="2"/>
  <c r="F46" i="2"/>
  <c r="E46" i="2"/>
  <c r="O45" i="2"/>
  <c r="N45" i="2"/>
  <c r="H45" i="2"/>
  <c r="G45" i="2"/>
  <c r="F45" i="2"/>
  <c r="E45" i="2"/>
  <c r="O44" i="2"/>
  <c r="N44" i="2"/>
  <c r="H44" i="2"/>
  <c r="G44" i="2"/>
  <c r="F44" i="2"/>
  <c r="E44" i="2"/>
  <c r="O43" i="2"/>
  <c r="N43" i="2"/>
  <c r="H43" i="2"/>
  <c r="G43" i="2"/>
  <c r="F43" i="2"/>
  <c r="E43" i="2"/>
  <c r="O42" i="2"/>
  <c r="N42" i="2"/>
  <c r="H42" i="2"/>
  <c r="G42" i="2"/>
  <c r="F42" i="2"/>
  <c r="E42" i="2"/>
  <c r="O41" i="2"/>
  <c r="N41" i="2"/>
  <c r="H41" i="2"/>
  <c r="G41" i="2"/>
  <c r="F41" i="2"/>
  <c r="E41" i="2"/>
  <c r="O40" i="2"/>
  <c r="N40" i="2"/>
  <c r="H40" i="2"/>
  <c r="G40" i="2"/>
  <c r="F40" i="2"/>
  <c r="E40" i="2"/>
  <c r="O39" i="2"/>
  <c r="N39" i="2"/>
  <c r="H39" i="2"/>
  <c r="G39" i="2"/>
  <c r="F39" i="2"/>
  <c r="E39" i="2"/>
  <c r="O38" i="2"/>
  <c r="N38" i="2"/>
  <c r="H38" i="2"/>
  <c r="G38" i="2"/>
  <c r="F38" i="2"/>
  <c r="E38" i="2"/>
  <c r="O37" i="2"/>
  <c r="N37" i="2"/>
  <c r="H37" i="2"/>
  <c r="G37" i="2"/>
  <c r="F37" i="2"/>
  <c r="E37" i="2"/>
  <c r="O36" i="2"/>
  <c r="N36" i="2"/>
  <c r="H36" i="2"/>
  <c r="G36" i="2"/>
  <c r="F36" i="2"/>
  <c r="E36" i="2"/>
  <c r="O35" i="2"/>
  <c r="N35" i="2"/>
  <c r="H35" i="2"/>
  <c r="G35" i="2"/>
  <c r="F35" i="2"/>
  <c r="E35" i="2"/>
  <c r="O34" i="2"/>
  <c r="N34" i="2"/>
  <c r="H34" i="2"/>
  <c r="G34" i="2"/>
  <c r="F34" i="2"/>
  <c r="E34" i="2"/>
  <c r="O33" i="2"/>
  <c r="N33" i="2"/>
  <c r="H33" i="2"/>
  <c r="G33" i="2"/>
  <c r="F33" i="2"/>
  <c r="E33" i="2"/>
  <c r="O32" i="2"/>
  <c r="N32" i="2"/>
  <c r="H32" i="2"/>
  <c r="G32" i="2"/>
  <c r="F32" i="2"/>
  <c r="E32" i="2"/>
  <c r="O31" i="2"/>
  <c r="N31" i="2"/>
  <c r="H31" i="2"/>
  <c r="G31" i="2"/>
  <c r="F31" i="2"/>
  <c r="E31" i="2"/>
  <c r="O30" i="2"/>
  <c r="N30" i="2"/>
  <c r="H30" i="2"/>
  <c r="G30" i="2"/>
  <c r="F30" i="2"/>
  <c r="E30" i="2"/>
  <c r="O29" i="2"/>
  <c r="N29" i="2"/>
  <c r="H29" i="2"/>
  <c r="G29" i="2"/>
  <c r="F29" i="2"/>
  <c r="E29" i="2"/>
  <c r="O28" i="2"/>
  <c r="N28" i="2"/>
  <c r="H28" i="2"/>
  <c r="G28" i="2"/>
  <c r="F28" i="2"/>
  <c r="E28" i="2"/>
  <c r="O27" i="2"/>
  <c r="N27" i="2"/>
  <c r="H27" i="2"/>
  <c r="G27" i="2"/>
  <c r="F27" i="2"/>
  <c r="E27" i="2"/>
  <c r="O26" i="2"/>
  <c r="N26" i="2"/>
  <c r="H26" i="2"/>
  <c r="G26" i="2"/>
  <c r="F26" i="2"/>
  <c r="E26" i="2"/>
  <c r="O25" i="2"/>
  <c r="N25" i="2"/>
  <c r="H25" i="2"/>
  <c r="G25" i="2"/>
  <c r="F25" i="2"/>
  <c r="E25" i="2"/>
  <c r="O24" i="2"/>
  <c r="N24" i="2"/>
  <c r="H24" i="2"/>
  <c r="G24" i="2"/>
  <c r="F24" i="2"/>
  <c r="E24" i="2"/>
  <c r="O23" i="2"/>
  <c r="N23" i="2"/>
  <c r="H23" i="2"/>
  <c r="G23" i="2"/>
  <c r="F23" i="2"/>
  <c r="E23" i="2"/>
  <c r="O22" i="2"/>
  <c r="N22" i="2"/>
  <c r="H22" i="2"/>
  <c r="G22" i="2"/>
  <c r="F22" i="2"/>
  <c r="E22" i="2"/>
  <c r="O21" i="2"/>
  <c r="N21" i="2"/>
  <c r="H21" i="2"/>
  <c r="G21" i="2"/>
  <c r="F21" i="2"/>
  <c r="E21" i="2"/>
  <c r="O20" i="2"/>
  <c r="N20" i="2"/>
  <c r="H20" i="2"/>
  <c r="G20" i="2"/>
  <c r="F20" i="2"/>
  <c r="E20" i="2"/>
  <c r="O19" i="2"/>
  <c r="N19" i="2"/>
  <c r="H19" i="2"/>
  <c r="G19" i="2"/>
  <c r="F19" i="2"/>
  <c r="E19" i="2"/>
  <c r="O18" i="2"/>
  <c r="N18" i="2"/>
  <c r="H18" i="2"/>
  <c r="G18" i="2"/>
  <c r="F18" i="2"/>
  <c r="E18" i="2"/>
  <c r="O17" i="2"/>
  <c r="N17" i="2"/>
  <c r="H17" i="2"/>
  <c r="G17" i="2"/>
  <c r="F17" i="2"/>
  <c r="E17" i="2"/>
  <c r="O16" i="2"/>
  <c r="N16" i="2"/>
  <c r="H16" i="2"/>
  <c r="G16" i="2"/>
  <c r="F16" i="2"/>
  <c r="E16" i="2"/>
  <c r="O15" i="2"/>
  <c r="N15" i="2"/>
  <c r="H15" i="2"/>
  <c r="G15" i="2"/>
  <c r="F15" i="2"/>
  <c r="E15" i="2"/>
  <c r="O14" i="2"/>
  <c r="N14" i="2"/>
  <c r="H14" i="2"/>
  <c r="G14" i="2"/>
  <c r="F14" i="2"/>
  <c r="E14" i="2"/>
  <c r="O13" i="2"/>
  <c r="N13" i="2"/>
  <c r="H13" i="2"/>
  <c r="G13" i="2"/>
  <c r="F13" i="2"/>
  <c r="E13" i="2"/>
  <c r="O12" i="2"/>
  <c r="N12" i="2"/>
  <c r="H12" i="2"/>
  <c r="G12" i="2"/>
  <c r="F12" i="2"/>
  <c r="E12" i="2"/>
  <c r="O11" i="2"/>
  <c r="N11" i="2"/>
  <c r="H11" i="2"/>
  <c r="G11" i="2"/>
  <c r="F11" i="2"/>
  <c r="E11" i="2"/>
  <c r="O10" i="2"/>
  <c r="N10" i="2"/>
  <c r="H10" i="2"/>
  <c r="G10" i="2"/>
  <c r="F10" i="2"/>
  <c r="E10" i="2"/>
  <c r="O9" i="2"/>
  <c r="N9" i="2"/>
  <c r="H9" i="2"/>
  <c r="G9" i="2"/>
  <c r="F9" i="2"/>
  <c r="E9" i="2"/>
  <c r="O8" i="2"/>
  <c r="N8" i="2"/>
  <c r="H8" i="2"/>
  <c r="G8" i="2"/>
  <c r="F8" i="2"/>
  <c r="E8" i="2"/>
  <c r="O7" i="2"/>
  <c r="N7" i="2"/>
  <c r="H7" i="2"/>
  <c r="G7" i="2"/>
  <c r="F7" i="2"/>
  <c r="E7" i="2"/>
  <c r="O6" i="2"/>
  <c r="N6" i="2"/>
  <c r="H6" i="2"/>
  <c r="G6" i="2"/>
  <c r="F6" i="2"/>
  <c r="E6" i="2"/>
  <c r="O5" i="2"/>
  <c r="N5" i="2"/>
  <c r="H5" i="2"/>
  <c r="G5" i="2"/>
  <c r="F5" i="2"/>
  <c r="E5" i="2"/>
  <c r="L96" i="2" l="1"/>
  <c r="D4" i="6"/>
  <c r="C4" i="6"/>
  <c r="E4" i="6" s="1"/>
  <c r="J96" i="2"/>
  <c r="C5" i="6"/>
  <c r="E5" i="6" s="1"/>
  <c r="D5" i="6"/>
  <c r="O95" i="2"/>
  <c r="E15" i="5"/>
  <c r="E16" i="5" s="1"/>
  <c r="E17" i="5" s="1"/>
  <c r="E19" i="5" s="1"/>
  <c r="E23" i="5" s="1"/>
  <c r="D15" i="5"/>
  <c r="D16" i="5" s="1"/>
  <c r="D17" i="5" s="1"/>
  <c r="D19" i="5" s="1"/>
  <c r="D23" i="5" s="1"/>
  <c r="D8" i="4" s="1"/>
  <c r="D9" i="4" s="1"/>
  <c r="D22" i="4" s="1"/>
  <c r="D46" i="4" s="1"/>
  <c r="C6" i="6" s="1"/>
  <c r="N95" i="2"/>
  <c r="C7" i="6" l="1"/>
  <c r="E7" i="6" s="1"/>
  <c r="E8" i="4"/>
  <c r="E9" i="4" s="1"/>
  <c r="E22" i="4" s="1"/>
  <c r="E46" i="4" s="1"/>
  <c r="D6" i="6" s="1"/>
  <c r="E6" i="6" s="1"/>
  <c r="E12" i="6" s="1"/>
</calcChain>
</file>

<file path=xl/sharedStrings.xml><?xml version="1.0" encoding="utf-8"?>
<sst xmlns="http://schemas.openxmlformats.org/spreadsheetml/2006/main" count="820" uniqueCount="452">
  <si>
    <t>Sample Trial Balance with Schedule III Mapping</t>
  </si>
  <si>
    <t>Company</t>
  </si>
  <si>
    <t>XYZ Manufacturing Private Limited (fictitious - sample data only)</t>
  </si>
  <si>
    <t>Periods</t>
  </si>
  <si>
    <t>Current Year (CY): FY 2025-26 (year ended 31 March 2026)   |   Previous Year (PY): FY 2024-25 (year ended 31 March 2025)</t>
  </si>
  <si>
    <t>Framework</t>
  </si>
  <si>
    <t>Companies Act, 2013 - Schedule III, Division I (non-Ind AS / Accounting Standards), Part I (Balance Sheet) and Part II (Statement of P&amp;L)</t>
  </si>
  <si>
    <t>Units</t>
  </si>
  <si>
    <t>INR in Lakhs</t>
  </si>
  <si>
    <t>Sheets</t>
  </si>
  <si>
    <t xml:space="preserve">  Trial Balance</t>
  </si>
  <si>
    <t>GL-level adjusted trial balance (CY &amp; PY Dr/Cr) with each GL mapped to a Schedule III line item via Mapping Code.</t>
  </si>
  <si>
    <t xml:space="preserve">  Mapping</t>
  </si>
  <si>
    <t>Master of Schedule III line items. Change a GL's Mapping Code on the Trial Balance and everything re-flows.</t>
  </si>
  <si>
    <t xml:space="preserve">  Balance Sheet</t>
  </si>
  <si>
    <t>Schedule III Part I - built from Trial Balance by SUMIFS on Mapping Code (CY &amp; PY).</t>
  </si>
  <si>
    <t xml:space="preserve">  Statement of P&amp;L</t>
  </si>
  <si>
    <t>Schedule III Part II - built from Trial Balance by SUMIFS on Mapping Code (CY &amp; PY).</t>
  </si>
  <si>
    <t xml:space="preserve">  Checks</t>
  </si>
  <si>
    <t>Integrity checks: TB balances, all GLs mapped, BS balances, and reconciliations between P&amp;L and balance sheet.</t>
  </si>
  <si>
    <t>Colour legend</t>
  </si>
  <si>
    <t>Blue = hardcoded input | Black = formula | Green = cross-sheet link/lookup | Yellow = cells to edit when using your own data</t>
  </si>
  <si>
    <t>Assumptions</t>
  </si>
  <si>
    <t xml:space="preserve">  1</t>
  </si>
  <si>
    <t>All figures are illustrative and fictitious. Trial balance is post-adjustment (closing stock, depreciation, provisions already booked) but before closing of P&amp;L to reserves.</t>
  </si>
  <si>
    <t xml:space="preserve">  2</t>
  </si>
  <si>
    <t>Sign convention: TB shows Debit and Credit columns; Net = Dr - Cr. Liabilities, equity and income are presented as positive on the Balance Sheet / P&amp;L by reversing the sign.</t>
  </si>
  <si>
    <t xml:space="preserve">  3</t>
  </si>
  <si>
    <t>Opening surplus: PY opening (513) is a balancing figure so the PY TB balances. CY opening surplus (1,071) = PY opening 513 + PY profit after tax 558 (no dividend or reserve transfer assumed).</t>
  </si>
  <si>
    <t xml:space="preserve">  4</t>
  </si>
  <si>
    <t>CY bank balance (current account, 288) is a balancing figure so the CY TB balances.</t>
  </si>
  <si>
    <t xml:space="preserve">  5</t>
  </si>
  <si>
    <t>Reserves and surplus on the Balance Sheet = securities premium + general reserve + opening surplus + profit for the year from the P&amp;L.</t>
  </si>
  <si>
    <t xml:space="preserve">  6</t>
  </si>
  <si>
    <t>Tangible assets and intangible assets are shown net of accumulated depreciation/amortisation (gross block and accumulated balances are mapped to the same line item).</t>
  </si>
  <si>
    <t xml:space="preserve">  7</t>
  </si>
  <si>
    <t>Fixed deposits with original maturity &gt; 3 months are shown under Other bank balances; margin money FDs &gt; 12 months under Other non-current assets.</t>
  </si>
  <si>
    <t xml:space="preserve">  8</t>
  </si>
  <si>
    <t>Current maturities of long-term debt, statutory dues, advance from customers, salaries payable and accrued interest are grouped under Other current liabilities.</t>
  </si>
  <si>
    <t xml:space="preserve">  9</t>
  </si>
  <si>
    <t>Advance tax/TDS, GST input credit, prepaid expenses, supplier advances and employee loans are grouped under Short-term loans and advances.</t>
  </si>
  <si>
    <t xml:space="preserve">  10</t>
  </si>
  <si>
    <t>Tax is computed at an assumed ~25.17% effective rate on profit before tax (current tax + deferred tax). No MAT, exceptional items or dividends are assumed.</t>
  </si>
  <si>
    <t xml:space="preserve">  11</t>
  </si>
  <si>
    <t>If your entity follows Ind AS, use Division II of Schedule III (financial-asset/liability based classification); the mapping codes would need to be restructured.</t>
  </si>
  <si>
    <t>XYZ Manufacturing Private Limited - Trial Balance with Schedule III Mapping</t>
  </si>
  <si>
    <t>CY = year ended 31 March 2026 | PY = year ended 31 March 2025 | INR in Lakhs | Mapping Code (col D) is the input that drives the Schedule III lookups (cols E-H)</t>
  </si>
  <si>
    <t>GL Code</t>
  </si>
  <si>
    <t>GL Account Name</t>
  </si>
  <si>
    <t>Account Type</t>
  </si>
  <si>
    <t>Mapping Code</t>
  </si>
  <si>
    <t>Statement</t>
  </si>
  <si>
    <t>Sub-section</t>
  </si>
  <si>
    <t>Schedule III Line Item</t>
  </si>
  <si>
    <t>Note No.</t>
  </si>
  <si>
    <t>Note Component / Sub-classification</t>
  </si>
  <si>
    <t>CY Debit</t>
  </si>
  <si>
    <t>CY Credit</t>
  </si>
  <si>
    <t>PY Debit</t>
  </si>
  <si>
    <t>PY Credit</t>
  </si>
  <si>
    <t>CY Net (Dr-Cr)</t>
  </si>
  <si>
    <t>PY Net (Dr-Cr)</t>
  </si>
  <si>
    <t>Equity Share Capital - Issued, Subscribed &amp; Paid-up</t>
  </si>
  <si>
    <t>Equity</t>
  </si>
  <si>
    <t>BS-EL-01</t>
  </si>
  <si>
    <t>Equity share capital</t>
  </si>
  <si>
    <t>Securities Premium Account</t>
  </si>
  <si>
    <t>BS-EL-02</t>
  </si>
  <si>
    <t>Securities premium</t>
  </si>
  <si>
    <t>General Reserve</t>
  </si>
  <si>
    <t>General reserve</t>
  </si>
  <si>
    <t>Surplus in Statement of P&amp;L - Opening Balance</t>
  </si>
  <si>
    <t>Surplus (opening balance)</t>
  </si>
  <si>
    <t>Term Loan - State Bank of India (Secured)</t>
  </si>
  <si>
    <t>Liability</t>
  </si>
  <si>
    <t>BS-EL-03</t>
  </si>
  <si>
    <t>Term loans from banks (secured)</t>
  </si>
  <si>
    <t>Deferred Tax Liability (Net)</t>
  </si>
  <si>
    <t>BS-EL-04</t>
  </si>
  <si>
    <t>Deferred tax liability</t>
  </si>
  <si>
    <t>Provision for Gratuity - Non-current</t>
  </si>
  <si>
    <t>BS-EL-06</t>
  </si>
  <si>
    <t>Provision for employee benefits</t>
  </si>
  <si>
    <t>Cash Credit - HDFC Bank (Secured)</t>
  </si>
  <si>
    <t>BS-EL-07</t>
  </si>
  <si>
    <t>Loans repayable on demand - banks</t>
  </si>
  <si>
    <t>Trade Payables - MSME Vendors</t>
  </si>
  <si>
    <t>BS-EL-08</t>
  </si>
  <si>
    <t>Total outstanding dues of MSMEs</t>
  </si>
  <si>
    <t>Trade Payables - Other Vendors</t>
  </si>
  <si>
    <t>Total outstanding dues of creditors other than MSMEs</t>
  </si>
  <si>
    <t>Current Maturities of Long-term Debt</t>
  </si>
  <si>
    <t>BS-EL-09</t>
  </si>
  <si>
    <t>Current maturities of long-term debt</t>
  </si>
  <si>
    <t>Interest Accrued but not Due on Borrowings</t>
  </si>
  <si>
    <t>Interest accrued but not due</t>
  </si>
  <si>
    <t>Advances from Customers</t>
  </si>
  <si>
    <t>Advances from customers</t>
  </si>
  <si>
    <t>GST Payable</t>
  </si>
  <si>
    <t>Statutory dues</t>
  </si>
  <si>
    <t>TDS / TCS Payable</t>
  </si>
  <si>
    <t>PF / ESI Payable</t>
  </si>
  <si>
    <t>Salaries &amp; Wages Payable</t>
  </si>
  <si>
    <t>Employee related payables</t>
  </si>
  <si>
    <t>Provision for Leave Encashment</t>
  </si>
  <si>
    <t>BS-EL-10</t>
  </si>
  <si>
    <t>Provision for Income Tax</t>
  </si>
  <si>
    <t>Provision for tax</t>
  </si>
  <si>
    <t>Freehold Land</t>
  </si>
  <si>
    <t>Asset</t>
  </si>
  <si>
    <t>BS-A-01</t>
  </si>
  <si>
    <t>Land</t>
  </si>
  <si>
    <t>Buildings - Gross Block</t>
  </si>
  <si>
    <t>Buildings</t>
  </si>
  <si>
    <t>Plant &amp; Machinery - Gross Block</t>
  </si>
  <si>
    <t>Plant and equipment</t>
  </si>
  <si>
    <t>Furniture &amp; Fixtures - Gross Block</t>
  </si>
  <si>
    <t>Furniture and fixtures</t>
  </si>
  <si>
    <t>Vehicles - Gross Block</t>
  </si>
  <si>
    <t>Vehicles</t>
  </si>
  <si>
    <t>Computers &amp; IT Equipment - Gross Block</t>
  </si>
  <si>
    <t>Office equipment / computers</t>
  </si>
  <si>
    <t>Accumulated Depreciation - Buildings</t>
  </si>
  <si>
    <t>Buildings (accumulated depreciation)</t>
  </si>
  <si>
    <t>Accumulated Depreciation - Plant &amp; Machinery</t>
  </si>
  <si>
    <t>Plant and equipment (accumulated depreciation)</t>
  </si>
  <si>
    <t>Accumulated Depreciation - Furniture &amp; Fixtures</t>
  </si>
  <si>
    <t>Furniture and fixtures (accumulated depreciation)</t>
  </si>
  <si>
    <t>Accumulated Depreciation - Vehicles</t>
  </si>
  <si>
    <t>Vehicles (accumulated depreciation)</t>
  </si>
  <si>
    <t>Accumulated Depreciation - Computers &amp; IT</t>
  </si>
  <si>
    <t>Office equipment / computers (accumulated depreciation)</t>
  </si>
  <si>
    <t>Computer Software - Gross Block</t>
  </si>
  <si>
    <t>BS-A-02</t>
  </si>
  <si>
    <t>Computer software</t>
  </si>
  <si>
    <t>Accumulated Amortisation - Software</t>
  </si>
  <si>
    <t>Computer software (accumulated amortisation)</t>
  </si>
  <si>
    <t>Capital Work-in-Progress</t>
  </si>
  <si>
    <t>BS-A-03</t>
  </si>
  <si>
    <t>Capital work-in-progress</t>
  </si>
  <si>
    <t>Investment in Equity Shares of Subsidiary (Unquoted)</t>
  </si>
  <si>
    <t>BS-A-05</t>
  </si>
  <si>
    <t>Investment in equity instruments - subsidiary</t>
  </si>
  <si>
    <t>Security Deposits (Electricity, Rent, etc.)</t>
  </si>
  <si>
    <t>BS-A-07</t>
  </si>
  <si>
    <t>Security deposits</t>
  </si>
  <si>
    <t>Capital Advances</t>
  </si>
  <si>
    <t>Capital advances</t>
  </si>
  <si>
    <t>Long-term Fixed Deposits - Margin Money against LCs/BGs</t>
  </si>
  <si>
    <t>BS-A-08</t>
  </si>
  <si>
    <t>Long-term bank deposits (maturity &gt; 12 months)</t>
  </si>
  <si>
    <t>Investment in Mutual Funds (Liquid / Debt)</t>
  </si>
  <si>
    <t>BS-A-09</t>
  </si>
  <si>
    <t>Investments in mutual funds</t>
  </si>
  <si>
    <t>Raw Materials &amp; Components</t>
  </si>
  <si>
    <t>BS-A-10</t>
  </si>
  <si>
    <t>Raw materials</t>
  </si>
  <si>
    <t>Work-in-Progress</t>
  </si>
  <si>
    <t>Work-in-progress</t>
  </si>
  <si>
    <t>Finished Goods</t>
  </si>
  <si>
    <t>Finished goods</t>
  </si>
  <si>
    <t>Stores, Spares &amp; Packing Materials</t>
  </si>
  <si>
    <t>Stores and spares</t>
  </si>
  <si>
    <t>Trade Receivables - Domestic &amp; Export (Gross)</t>
  </si>
  <si>
    <t>BS-A-11</t>
  </si>
  <si>
    <t>Trade receivables - considered good, unsecured</t>
  </si>
  <si>
    <t>Provision for Doubtful Debts</t>
  </si>
  <si>
    <t>Less: Provision for doubtful trade receivables</t>
  </si>
  <si>
    <t>Cash on Hand</t>
  </si>
  <si>
    <t>BS-A-12</t>
  </si>
  <si>
    <t>Cash on hand</t>
  </si>
  <si>
    <t>Bank - Current Account (ICICI Bank)</t>
  </si>
  <si>
    <t>Balances with banks - current accounts</t>
  </si>
  <si>
    <t>Fixed Deposits (original maturity &gt; 3 months, &lt; 12 months)</t>
  </si>
  <si>
    <t>BS-A-13</t>
  </si>
  <si>
    <t>Bank deposits with maturity 3-12 months</t>
  </si>
  <si>
    <t>Advances to Suppliers</t>
  </si>
  <si>
    <t>BS-A-14</t>
  </si>
  <si>
    <t>Advances to suppliers</t>
  </si>
  <si>
    <t>Prepaid Expenses</t>
  </si>
  <si>
    <t>Prepaid expenses</t>
  </si>
  <si>
    <t>GST Input Tax Credit Receivable</t>
  </si>
  <si>
    <t>Balances with government authorities</t>
  </si>
  <si>
    <t>Advance Income Tax / TDS Receivable</t>
  </si>
  <si>
    <t>Advance tax and TDS</t>
  </si>
  <si>
    <t>Loans &amp; Advances to Employees</t>
  </si>
  <si>
    <t>Loans to employees</t>
  </si>
  <si>
    <t>Interest Accrued on Deposits</t>
  </si>
  <si>
    <t>BS-A-15</t>
  </si>
  <si>
    <t>Interest accrued</t>
  </si>
  <si>
    <t>Export Incentives Receivable</t>
  </si>
  <si>
    <t>Export incentives receivable</t>
  </si>
  <si>
    <t>Sale of Products - Domestic</t>
  </si>
  <si>
    <t>Income</t>
  </si>
  <si>
    <t>PL-01</t>
  </si>
  <si>
    <t>Sale of products</t>
  </si>
  <si>
    <t>Sale of Products - Export</t>
  </si>
  <si>
    <t>Sale of Scrap</t>
  </si>
  <si>
    <t>Other operating revenues</t>
  </si>
  <si>
    <t>Interest Income on Deposits</t>
  </si>
  <si>
    <t>PL-02</t>
  </si>
  <si>
    <t>Interest income</t>
  </si>
  <si>
    <t>Dividend Income on Mutual Funds</t>
  </si>
  <si>
    <t>Dividend income</t>
  </si>
  <si>
    <t>Foreign Exchange Gain (Net)</t>
  </si>
  <si>
    <t>Net gain on foreign currency transactions</t>
  </si>
  <si>
    <t>Raw Materials Consumed (Opening + Purchases - Closing)</t>
  </si>
  <si>
    <t>Expense</t>
  </si>
  <si>
    <t>PL-03</t>
  </si>
  <si>
    <t>Cost of raw materials consumed</t>
  </si>
  <si>
    <t>(Increase)/Decrease in Inventories of FG &amp; WIP</t>
  </si>
  <si>
    <t>PL-05</t>
  </si>
  <si>
    <t>Changes in inventories of FG and WIP</t>
  </si>
  <si>
    <t>Salaries, Wages &amp; Bonus</t>
  </si>
  <si>
    <t>PL-06</t>
  </si>
  <si>
    <t>Salaries and wages</t>
  </si>
  <si>
    <t>Contribution to PF, ESI &amp; Other Funds</t>
  </si>
  <si>
    <t>Contribution to provident and other funds</t>
  </si>
  <si>
    <t>Gratuity &amp; Leave Encashment Expense</t>
  </si>
  <si>
    <t>Gratuity expense</t>
  </si>
  <si>
    <t>Staff Welfare Expenses</t>
  </si>
  <si>
    <t>Staff welfare expenses</t>
  </si>
  <si>
    <t>Interest on Term Loan</t>
  </si>
  <si>
    <t>PL-07</t>
  </si>
  <si>
    <t>Interest expense - term loan</t>
  </si>
  <si>
    <t>Interest on Cash Credit</t>
  </si>
  <si>
    <t>Interest expense - working capital</t>
  </si>
  <si>
    <t>Bank Charges &amp; Loan Processing Fees</t>
  </si>
  <si>
    <t>Other borrowing costs</t>
  </si>
  <si>
    <t>Depreciation on Tangible Assets</t>
  </si>
  <si>
    <t>PL-08</t>
  </si>
  <si>
    <t>Depreciation</t>
  </si>
  <si>
    <t>Amortisation of Intangible Assets</t>
  </si>
  <si>
    <t>Amortisation</t>
  </si>
  <si>
    <t>Power &amp; Fuel</t>
  </si>
  <si>
    <t>PL-09</t>
  </si>
  <si>
    <t>Power and fuel</t>
  </si>
  <si>
    <t>Consumption of Stores &amp; Spares</t>
  </si>
  <si>
    <t>Consumption of stores and spares</t>
  </si>
  <si>
    <t>Repairs &amp; Maintenance</t>
  </si>
  <si>
    <t>Repairs and maintenance</t>
  </si>
  <si>
    <t>Freight &amp; Forwarding</t>
  </si>
  <si>
    <t>Freight and forwarding</t>
  </si>
  <si>
    <t>Rent</t>
  </si>
  <si>
    <t>Insurance</t>
  </si>
  <si>
    <t>Rates &amp; Taxes</t>
  </si>
  <si>
    <t>Rates and taxes</t>
  </si>
  <si>
    <t>Travelling &amp; Conveyance</t>
  </si>
  <si>
    <t>Travelling and conveyance</t>
  </si>
  <si>
    <t>Printing &amp; Stationery</t>
  </si>
  <si>
    <t>Printing and stationery</t>
  </si>
  <si>
    <t>Legal &amp; Professional Fees</t>
  </si>
  <si>
    <t>Legal and professional fees</t>
  </si>
  <si>
    <t>Payment to Auditors (Audit Fee)</t>
  </si>
  <si>
    <t>Payment to auditors</t>
  </si>
  <si>
    <t>Communication Expenses</t>
  </si>
  <si>
    <t>Communication expenses</t>
  </si>
  <si>
    <t>Advertisement &amp; Sales Promotion</t>
  </si>
  <si>
    <t>Advertisement and sales promotion</t>
  </si>
  <si>
    <t>Bad Debts Written Off</t>
  </si>
  <si>
    <t>Bad debts written off</t>
  </si>
  <si>
    <t>Provision for Doubtful Debts (P&amp;L charge)</t>
  </si>
  <si>
    <t>Provision for doubtful debts</t>
  </si>
  <si>
    <t>CSR Expenditure</t>
  </si>
  <si>
    <t>Corporate social responsibility expenditure</t>
  </si>
  <si>
    <t>Miscellaneous Expenses</t>
  </si>
  <si>
    <t>Miscellaneous expenses</t>
  </si>
  <si>
    <t>Current Tax Expense</t>
  </si>
  <si>
    <t>PL-11</t>
  </si>
  <si>
    <t>Current tax</t>
  </si>
  <si>
    <t>Deferred Tax Expense</t>
  </si>
  <si>
    <t>PL-12</t>
  </si>
  <si>
    <t>Deferred tax</t>
  </si>
  <si>
    <t>TOTAL</t>
  </si>
  <si>
    <t>Check: Total Debit - Total Credit (should be 0)</t>
  </si>
  <si>
    <t>Note: Blue = hardcoded input; Green = lookup from Mapping sheet. Edit Mapping Code (col D) to re-map a GL account. Balancing figures: GL 1004 (opening surplus) and GL 3132 CY (bank) - see Read Me.</t>
  </si>
  <si>
    <t>Schedule III Line Item Master (Division I)</t>
  </si>
  <si>
    <t>Each Mapping Code ties a GL account to one Schedule III line item. Note numbers are illustrative.</t>
  </si>
  <si>
    <t>Section</t>
  </si>
  <si>
    <t>Normal Balance</t>
  </si>
  <si>
    <t>Schedule III Reference</t>
  </si>
  <si>
    <t>Balance Sheet</t>
  </si>
  <si>
    <t>Equity and Liabilities</t>
  </si>
  <si>
    <t>Shareholders' funds</t>
  </si>
  <si>
    <t>Share capital</t>
  </si>
  <si>
    <t>Cr</t>
  </si>
  <si>
    <t>Sch III Part I, I.1(a)</t>
  </si>
  <si>
    <t>Reserves and surplus</t>
  </si>
  <si>
    <t>Sch III Part I, I.1(b)</t>
  </si>
  <si>
    <t>Non-current liabilities</t>
  </si>
  <si>
    <t>Long-term borrowings</t>
  </si>
  <si>
    <t>Sch III Part I, I.3(a)</t>
  </si>
  <si>
    <t>Deferred tax liabilities (net)</t>
  </si>
  <si>
    <t>Sch III Part I, I.3(b)</t>
  </si>
  <si>
    <t>BS-EL-05</t>
  </si>
  <si>
    <t>Other long-term liabilities</t>
  </si>
  <si>
    <t>Sch III Part I, I.3(c)</t>
  </si>
  <si>
    <t>Long-term provisions</t>
  </si>
  <si>
    <t>Sch III Part I, I.3(d)</t>
  </si>
  <si>
    <t>Current liabilities</t>
  </si>
  <si>
    <t>Short-term borrowings</t>
  </si>
  <si>
    <t>Sch III Part I, I.4(a)</t>
  </si>
  <si>
    <t>Trade payables</t>
  </si>
  <si>
    <t>Sch III Part I, I.4(b)</t>
  </si>
  <si>
    <t>Other current liabilities</t>
  </si>
  <si>
    <t>Sch III Part I, I.4(c)</t>
  </si>
  <si>
    <t>Short-term provisions</t>
  </si>
  <si>
    <t>Sch III Part I, I.4(d)</t>
  </si>
  <si>
    <t>Assets</t>
  </si>
  <si>
    <t>Non-current assets</t>
  </si>
  <si>
    <t>Fixed assets - Tangible assets</t>
  </si>
  <si>
    <t>Dr</t>
  </si>
  <si>
    <t>Sch III Part I, II.1(a)(i)</t>
  </si>
  <si>
    <t>Fixed assets - Intangible assets</t>
  </si>
  <si>
    <t>Sch III Part I, II.1(a)(ii)</t>
  </si>
  <si>
    <t>Fixed assets - Capital work-in-progress</t>
  </si>
  <si>
    <t>Sch III Part I, II.1(a)(iii)</t>
  </si>
  <si>
    <t>BS-A-04</t>
  </si>
  <si>
    <t>Fixed assets - Intangible assets under development</t>
  </si>
  <si>
    <t>Sch III Part I, II.1(a)(iv)</t>
  </si>
  <si>
    <t>Non-current investments</t>
  </si>
  <si>
    <t>Sch III Part I, II.1(b)</t>
  </si>
  <si>
    <t>BS-A-06</t>
  </si>
  <si>
    <t>Deferred tax assets (net)</t>
  </si>
  <si>
    <t>Sch III Part I, II.1(c)</t>
  </si>
  <si>
    <t>Long-term loans and advances</t>
  </si>
  <si>
    <t>Sch III Part I, II.1(d)</t>
  </si>
  <si>
    <t>Other non-current assets</t>
  </si>
  <si>
    <t>Sch III Part I, II.1(e)</t>
  </si>
  <si>
    <t>Current assets</t>
  </si>
  <si>
    <t>Current investments</t>
  </si>
  <si>
    <t>Sch III Part I, II.2(a)</t>
  </si>
  <si>
    <t>Inventories</t>
  </si>
  <si>
    <t>Sch III Part I, II.2(b)</t>
  </si>
  <si>
    <t>Trade receivables</t>
  </si>
  <si>
    <t>Sch III Part I, II.2(c)</t>
  </si>
  <si>
    <t>Cash and cash equivalents</t>
  </si>
  <si>
    <t>Sch III Part I, II.2(d)</t>
  </si>
  <si>
    <t>Other bank balances</t>
  </si>
  <si>
    <t>Sch III Part I, II.2(d) - Note: Cash and bank balances</t>
  </si>
  <si>
    <t>Short-term loans and advances</t>
  </si>
  <si>
    <t>Sch III Part I, II.2(e)</t>
  </si>
  <si>
    <t>Other current assets</t>
  </si>
  <si>
    <t>Sch III Part I, II.2(f)</t>
  </si>
  <si>
    <t>Statement of P&amp;L</t>
  </si>
  <si>
    <t>Revenue</t>
  </si>
  <si>
    <t>Revenue from operations</t>
  </si>
  <si>
    <t>Sch III Part II, I</t>
  </si>
  <si>
    <t>Other income</t>
  </si>
  <si>
    <t>Sch III Part II, II</t>
  </si>
  <si>
    <t>Expenses</t>
  </si>
  <si>
    <t>Cost of materials consumed</t>
  </si>
  <si>
    <t>Sch III Part II, IV</t>
  </si>
  <si>
    <t>PL-04</t>
  </si>
  <si>
    <t>Purchases of stock-in-trade</t>
  </si>
  <si>
    <t>Changes in inventories of finished goods, WIP and stock-in-trade</t>
  </si>
  <si>
    <t>Employee benefits expense</t>
  </si>
  <si>
    <t>Finance costs</t>
  </si>
  <si>
    <t>Depreciation and amortisation expense</t>
  </si>
  <si>
    <t>Other expenses</t>
  </si>
  <si>
    <t>PL-10</t>
  </si>
  <si>
    <t>Exceptional items</t>
  </si>
  <si>
    <t>Sch III Part II, VI</t>
  </si>
  <si>
    <t>Tax expense</t>
  </si>
  <si>
    <t>Tax expense - Current tax</t>
  </si>
  <si>
    <t>Sch III Part II, VIII(1)</t>
  </si>
  <si>
    <t>Tax expense - Deferred tax</t>
  </si>
  <si>
    <t>Sch III Part II, VIII(2)</t>
  </si>
  <si>
    <t>XYZ Manufacturing Private Limited</t>
  </si>
  <si>
    <t>Balance Sheet (Schedule III, Division I, Part I) as at 31 March - INR in Lakhs</t>
  </si>
  <si>
    <t>Map Code</t>
  </si>
  <si>
    <t>Particulars</t>
  </si>
  <si>
    <t>CY
31-Mar-2026</t>
  </si>
  <si>
    <t>PY
31-Mar-2025</t>
  </si>
  <si>
    <t>I. EQUITY AND LIABILITIES</t>
  </si>
  <si>
    <t>1. Shareholders' funds</t>
  </si>
  <si>
    <t xml:space="preserve">   (a) Share capital</t>
  </si>
  <si>
    <t xml:space="preserve">   (b) Reserves and surplus</t>
  </si>
  <si>
    <t xml:space="preserve">   Total shareholders' funds</t>
  </si>
  <si>
    <t>2. Non-current liabilities</t>
  </si>
  <si>
    <t xml:space="preserve">   (a) Long-term borrowings</t>
  </si>
  <si>
    <t xml:space="preserve">   (b) Deferred tax liabilities (net)</t>
  </si>
  <si>
    <t xml:space="preserve">   (c) Other long-term liabilities</t>
  </si>
  <si>
    <t xml:space="preserve">   (d) Long-term provisions</t>
  </si>
  <si>
    <t xml:space="preserve">   Total non-current liabilities</t>
  </si>
  <si>
    <t>3. Current liabilities</t>
  </si>
  <si>
    <t xml:space="preserve">   (a) Short-term borrowings</t>
  </si>
  <si>
    <t xml:space="preserve">   (b) Trade payables</t>
  </si>
  <si>
    <t xml:space="preserve">   (c) Other current liabilities</t>
  </si>
  <si>
    <t xml:space="preserve">   (d) Short-term provisions</t>
  </si>
  <si>
    <t xml:space="preserve">   Total current liabilities</t>
  </si>
  <si>
    <t>TOTAL EQUITY AND LIABILITIES</t>
  </si>
  <si>
    <t>II. ASSETS</t>
  </si>
  <si>
    <t>1. Non-current assets</t>
  </si>
  <si>
    <t xml:space="preserve">   (a) Fixed assets - (i) Tangible assets</t>
  </si>
  <si>
    <t xml:space="preserve">              (ii) Intangible assets</t>
  </si>
  <si>
    <t xml:space="preserve">              (iii) Capital work-in-progress</t>
  </si>
  <si>
    <t xml:space="preserve">              (iv) Intangible assets under development</t>
  </si>
  <si>
    <t xml:space="preserve">   (b) Non-current investments</t>
  </si>
  <si>
    <t xml:space="preserve">   (c) Deferred tax assets (net)</t>
  </si>
  <si>
    <t xml:space="preserve">   (d) Long-term loans and advances</t>
  </si>
  <si>
    <t xml:space="preserve">   (e) Other non-current assets</t>
  </si>
  <si>
    <t xml:space="preserve">   Total non-current assets</t>
  </si>
  <si>
    <t>2. Current assets</t>
  </si>
  <si>
    <t xml:space="preserve">   (a) Current investments</t>
  </si>
  <si>
    <t xml:space="preserve">   (b) Inventories</t>
  </si>
  <si>
    <t xml:space="preserve">   (c) Trade receivables</t>
  </si>
  <si>
    <t xml:space="preserve">   (d) Cash and cash equivalents</t>
  </si>
  <si>
    <t xml:space="preserve">   (e) Other bank balances</t>
  </si>
  <si>
    <t xml:space="preserve">   (f) Short-term loans and advances</t>
  </si>
  <si>
    <t xml:space="preserve">   (g) Other current assets</t>
  </si>
  <si>
    <t xml:space="preserve">   Total current assets</t>
  </si>
  <si>
    <t>TOTAL ASSETS</t>
  </si>
  <si>
    <t>Check: Total assets - Total equity and liabilities (should be 0)</t>
  </si>
  <si>
    <t>Reserves and surplus = securities premium + general reserve + opening surplus + profit for the year (from Statement of P&amp;L). Fixed assets are net of accumulated depreciation/amortisation.</t>
  </si>
  <si>
    <t>Statement of Profit and Loss (Schedule III, Division I, Part II) - INR in Lakhs</t>
  </si>
  <si>
    <t>CY
FY 2025-26</t>
  </si>
  <si>
    <t>PY
FY 2024-25</t>
  </si>
  <si>
    <t>I. Revenue from operations</t>
  </si>
  <si>
    <t>II. Other income</t>
  </si>
  <si>
    <t>III. Total revenue (I + II)</t>
  </si>
  <si>
    <t>IV. Expenses:</t>
  </si>
  <si>
    <t xml:space="preserve">   Cost of materials consumed</t>
  </si>
  <si>
    <t xml:space="preserve">   Purchases of stock-in-trade</t>
  </si>
  <si>
    <t xml:space="preserve">   Changes in inventories of finished goods, work-in-progress and stock-in-trade</t>
  </si>
  <si>
    <t xml:space="preserve">   Employee benefits expense</t>
  </si>
  <si>
    <t xml:space="preserve">   Finance costs</t>
  </si>
  <si>
    <t xml:space="preserve">   Depreciation and amortisation expense</t>
  </si>
  <si>
    <t xml:space="preserve">   Other expenses</t>
  </si>
  <si>
    <t xml:space="preserve">   Total expenses</t>
  </si>
  <si>
    <t>V. Profit before exceptional items and tax (III - IV)</t>
  </si>
  <si>
    <t>VI. Exceptional items</t>
  </si>
  <si>
    <t>VII. Profit before tax (V - VI)</t>
  </si>
  <si>
    <t>VIII. Tax expense:</t>
  </si>
  <si>
    <t xml:space="preserve">   (1) Current tax</t>
  </si>
  <si>
    <t xml:space="preserve">   (2) Deferred tax</t>
  </si>
  <si>
    <t>IX. Profit for the year (VII - VIII)</t>
  </si>
  <si>
    <t>Profit for the year ties to Reserves and surplus on the Balance Sheet (opening surplus + profit for the year).</t>
  </si>
  <si>
    <t>Integrity Checks</t>
  </si>
  <si>
    <t>#</t>
  </si>
  <si>
    <t>Check</t>
  </si>
  <si>
    <t>CY</t>
  </si>
  <si>
    <t>PY</t>
  </si>
  <si>
    <t>Status</t>
  </si>
  <si>
    <t>Trial balance: Total Debit = Total Credit (difference)</t>
  </si>
  <si>
    <t>GL accounts not mapped to a valid Schedule III line (count)</t>
  </si>
  <si>
    <t>Balance Sheet: Total assets - Total equity &amp; liabilities</t>
  </si>
  <si>
    <t>Opening surplus (CY) = PY opening surplus + PY profit for the year</t>
  </si>
  <si>
    <t>Depreciation &amp; amortisation (P&amp;L) = movement in accumulated depreciation/amortisation (CY)</t>
  </si>
  <si>
    <t>Provision for doubtful debts: P&amp;L charge = movement in provision (CY)</t>
  </si>
  <si>
    <t>Deferred tax: P&amp;L charge = movement in DTL (CY)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</si>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</sst>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9"/>
      <color rgb="FF80808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3">
    <border>
      <left/>
      <right/>
      <top/>
      <bottom/>
      <diagonal/>
    </border>
    <border>
      <left/>
      <right/>
      <top style="thin">
        <color rgb="FF999999"/>
      </top>
      <bottom style="double">
        <color auto="1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164" fontId="0" fillId="0" borderId="0" xfId="0" applyNumberFormat="1"/>
    <xf numFmtId="164" fontId="6" fillId="0" borderId="0" xfId="0" applyNumberFormat="1" applyFont="1"/>
    <xf numFmtId="164" fontId="3" fillId="0" borderId="0" xfId="0" applyNumberFormat="1" applyFont="1"/>
    <xf numFmtId="164" fontId="2" fillId="3" borderId="1" xfId="0" applyNumberFormat="1" applyFont="1" applyFill="1" applyBorder="1"/>
    <xf numFmtId="164" fontId="2" fillId="0" borderId="0" xfId="0" applyNumberFormat="1" applyFont="1"/>
    <xf numFmtId="0" fontId="0" fillId="4" borderId="0" xfId="0" applyFill="1"/>
    <xf numFmtId="0" fontId="2" fillId="4" borderId="0" xfId="0" applyFont="1" applyFill="1"/>
    <xf numFmtId="164" fontId="0" fillId="4" borderId="0" xfId="0" applyNumberFormat="1" applyFill="1"/>
    <xf numFmtId="164" fontId="7" fillId="0" borderId="0" xfId="0" applyNumberFormat="1" applyFont="1"/>
    <xf numFmtId="164" fontId="2" fillId="3" borderId="2" xfId="0" applyNumberFormat="1" applyFont="1" applyFill="1" applyBorder="1"/>
  </cellXfs>
  <cellStyles count="1">
    <cellStyle name="Normal" xfId="0" builtinId="0"/>
  </cellStyles>
  <dxfs count="3"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61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showGridLines="0" tabSelected="1" zoomScaleNormal="100" workbookViewId="0"/>
  </sheetViews>
  <sheetFormatPr defaultColWidth="8.6328125" defaultRowHeight="14.5" x14ac:dyDescent="0.35"/>
  <cols>
    <col min="1" max="1" width="20" customWidth="1"/>
    <col min="2" max="2" width="130" customWidth="1"/>
  </cols>
  <sheetData>
    <row r="1" spans="1:2" ht="18" x14ac:dyDescent="0.4">
      <c r="A1" s="1" t="s">
        <v>0</v>
      </c>
    </row>
    <row r="3" spans="1:2" x14ac:dyDescent="0.35">
      <c r="A3" s="2" t="s">
        <v>1</v>
      </c>
      <c r="B3" s="3" t="s">
        <v>2</v>
      </c>
    </row>
    <row r="4" spans="1:2" x14ac:dyDescent="0.35">
      <c r="A4" s="2" t="s">
        <v>3</v>
      </c>
      <c r="B4" s="3" t="s">
        <v>4</v>
      </c>
    </row>
    <row r="5" spans="1:2" x14ac:dyDescent="0.35">
      <c r="A5" s="2" t="s">
        <v>5</v>
      </c>
      <c r="B5" s="3" t="s">
        <v>6</v>
      </c>
    </row>
    <row r="6" spans="1:2" x14ac:dyDescent="0.35">
      <c r="A6" s="2" t="s">
        <v>7</v>
      </c>
      <c r="B6" s="3" t="s">
        <v>8</v>
      </c>
    </row>
    <row r="7" spans="1:2" x14ac:dyDescent="0.35">
      <c r="A7" s="4"/>
      <c r="B7" s="3"/>
    </row>
    <row r="8" spans="1:2" x14ac:dyDescent="0.35">
      <c r="A8" s="2" t="s">
        <v>9</v>
      </c>
      <c r="B8" s="3"/>
    </row>
    <row r="9" spans="1:2" x14ac:dyDescent="0.35">
      <c r="A9" s="4" t="s">
        <v>10</v>
      </c>
      <c r="B9" s="3" t="s">
        <v>11</v>
      </c>
    </row>
    <row r="10" spans="1:2" x14ac:dyDescent="0.35">
      <c r="A10" s="4" t="s">
        <v>12</v>
      </c>
      <c r="B10" s="3" t="s">
        <v>13</v>
      </c>
    </row>
    <row r="11" spans="1:2" x14ac:dyDescent="0.35">
      <c r="A11" s="4" t="s">
        <v>14</v>
      </c>
      <c r="B11" s="3" t="s">
        <v>15</v>
      </c>
    </row>
    <row r="12" spans="1:2" x14ac:dyDescent="0.35">
      <c r="A12" s="4" t="s">
        <v>16</v>
      </c>
      <c r="B12" s="3" t="s">
        <v>17</v>
      </c>
    </row>
    <row r="13" spans="1:2" x14ac:dyDescent="0.35">
      <c r="A13" s="4" t="s">
        <v>18</v>
      </c>
      <c r="B13" s="3" t="s">
        <v>19</v>
      </c>
    </row>
    <row r="14" spans="1:2" x14ac:dyDescent="0.35">
      <c r="A14" s="4"/>
      <c r="B14" s="3"/>
    </row>
    <row r="15" spans="1:2" x14ac:dyDescent="0.35">
      <c r="A15" s="2" t="s">
        <v>20</v>
      </c>
      <c r="B15" s="3" t="s">
        <v>21</v>
      </c>
    </row>
    <row r="16" spans="1:2" x14ac:dyDescent="0.35">
      <c r="A16" s="4"/>
      <c r="B16" s="3"/>
    </row>
    <row r="17" spans="1:2" x14ac:dyDescent="0.35">
      <c r="A17" s="2" t="s">
        <v>22</v>
      </c>
      <c r="B17" s="3"/>
    </row>
    <row r="18" spans="1:2" ht="25" x14ac:dyDescent="0.35">
      <c r="A18" s="4" t="s">
        <v>23</v>
      </c>
      <c r="B18" s="3" t="s">
        <v>24</v>
      </c>
    </row>
    <row r="19" spans="1:2" ht="25" x14ac:dyDescent="0.35">
      <c r="A19" s="4" t="s">
        <v>25</v>
      </c>
      <c r="B19" s="3" t="s">
        <v>26</v>
      </c>
    </row>
    <row r="20" spans="1:2" ht="25" x14ac:dyDescent="0.35">
      <c r="A20" s="4" t="s">
        <v>27</v>
      </c>
      <c r="B20" s="3" t="s">
        <v>28</v>
      </c>
    </row>
    <row r="21" spans="1:2" x14ac:dyDescent="0.35">
      <c r="A21" s="4" t="s">
        <v>29</v>
      </c>
      <c r="B21" s="3" t="s">
        <v>30</v>
      </c>
    </row>
    <row r="22" spans="1:2" x14ac:dyDescent="0.35">
      <c r="A22" s="4" t="s">
        <v>31</v>
      </c>
      <c r="B22" s="3" t="s">
        <v>32</v>
      </c>
    </row>
    <row r="23" spans="1:2" ht="25" x14ac:dyDescent="0.35">
      <c r="A23" s="4" t="s">
        <v>33</v>
      </c>
      <c r="B23" s="3" t="s">
        <v>34</v>
      </c>
    </row>
    <row r="24" spans="1:2" x14ac:dyDescent="0.35">
      <c r="A24" s="4" t="s">
        <v>35</v>
      </c>
      <c r="B24" s="3" t="s">
        <v>36</v>
      </c>
    </row>
    <row r="25" spans="1:2" ht="25" x14ac:dyDescent="0.35">
      <c r="A25" s="4" t="s">
        <v>37</v>
      </c>
      <c r="B25" s="3" t="s">
        <v>38</v>
      </c>
    </row>
    <row r="26" spans="1:2" x14ac:dyDescent="0.35">
      <c r="A26" s="4" t="s">
        <v>39</v>
      </c>
      <c r="B26" s="3" t="s">
        <v>40</v>
      </c>
    </row>
    <row r="27" spans="1:2" x14ac:dyDescent="0.35">
      <c r="A27" s="4" t="s">
        <v>41</v>
      </c>
      <c r="B27" s="3" t="s">
        <v>42</v>
      </c>
    </row>
    <row r="28" spans="1:2" x14ac:dyDescent="0.35">
      <c r="A28" s="4" t="s">
        <v>43</v>
      </c>
      <c r="B28" s="3" t="s"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9" customWidth="1"/>
    <col min="2" max="2" width="52" customWidth="1"/>
    <col min="3" max="3" width="11" customWidth="1"/>
    <col min="4" max="4" width="13" customWidth="1"/>
    <col min="5" max="5" width="16" customWidth="1"/>
    <col min="6" max="6" width="22" customWidth="1"/>
    <col min="7" max="7" width="50" customWidth="1"/>
    <col min="8" max="8" width="8" customWidth="1"/>
    <col min="9" max="9" width="50" customWidth="1"/>
    <col min="10" max="13" width="12" customWidth="1"/>
    <col min="14" max="15" width="14" customWidth="1"/>
  </cols>
  <sheetData>
    <row r="1" spans="1:15" ht="18" x14ac:dyDescent="0.4">
      <c r="A1" s="1" t="s">
        <v>45</v>
      </c>
    </row>
    <row r="2" spans="1:15" x14ac:dyDescent="0.35">
      <c r="A2" s="5" t="s">
        <v>46</v>
      </c>
    </row>
    <row r="4" spans="1:15" ht="31.5" customHeight="1" x14ac:dyDescent="0.35">
      <c r="A4" s="6" t="s">
        <v>47</v>
      </c>
      <c r="B4" s="6" t="s">
        <v>48</v>
      </c>
      <c r="C4" s="6" t="s">
        <v>49</v>
      </c>
      <c r="D4" s="6" t="s">
        <v>50</v>
      </c>
      <c r="E4" s="6" t="s">
        <v>51</v>
      </c>
      <c r="F4" s="6" t="s">
        <v>52</v>
      </c>
      <c r="G4" s="6" t="s">
        <v>53</v>
      </c>
      <c r="H4" s="6" t="s">
        <v>54</v>
      </c>
      <c r="I4" s="6" t="s">
        <v>55</v>
      </c>
      <c r="J4" s="6" t="s">
        <v>56</v>
      </c>
      <c r="K4" s="6" t="s">
        <v>57</v>
      </c>
      <c r="L4" s="6" t="s">
        <v>58</v>
      </c>
      <c r="M4" s="6" t="s">
        <v>59</v>
      </c>
      <c r="N4" s="6" t="s">
        <v>60</v>
      </c>
      <c r="O4" s="6" t="s">
        <v>61</v>
      </c>
    </row>
    <row r="5" spans="1:15" x14ac:dyDescent="0.35">
      <c r="A5" s="7">
        <v>1001</v>
      </c>
      <c r="B5" s="7" t="s">
        <v>62</v>
      </c>
      <c r="C5" s="7" t="s">
        <v>63</v>
      </c>
      <c r="D5" s="7" t="s">
        <v>64</v>
      </c>
      <c r="E5" s="8" t="str">
        <f>IFERROR(INDEX(Mapping!$B$5:$B$41,MATCH($D5,Mapping!$A$5:$A$41,0)),"UNMAPPED")</f>
        <v>Balance Sheet</v>
      </c>
      <c r="F5" s="8" t="str">
        <f>IFERROR(INDEX(Mapping!$D$5:$D$41,MATCH($D5,Mapping!$A$5:$A$41,0)),"UNMAPPED")</f>
        <v>Shareholders' funds</v>
      </c>
      <c r="G5" s="8" t="str">
        <f>IFERROR(INDEX(Mapping!$E$5:$E$41,MATCH($D5,Mapping!$A$5:$A$41,0)),"UNMAPPED")</f>
        <v>Share capital</v>
      </c>
      <c r="H5" s="9">
        <f>IFERROR(INDEX(Mapping!$F$5:$F$41,MATCH($D5,Mapping!$A$5:$A$41,0)),"UNMAPPED")</f>
        <v>1</v>
      </c>
      <c r="I5" s="7" t="s">
        <v>65</v>
      </c>
      <c r="J5" s="10"/>
      <c r="K5" s="11">
        <v>1000</v>
      </c>
      <c r="L5" s="10"/>
      <c r="M5" s="11">
        <v>1000</v>
      </c>
      <c r="N5" s="12">
        <f t="shared" ref="N5:N36" si="0">J5-K5</f>
        <v>-1000</v>
      </c>
      <c r="O5" s="12">
        <f t="shared" ref="O5:O36" si="1">L5-M5</f>
        <v>-1000</v>
      </c>
    </row>
    <row r="6" spans="1:15" x14ac:dyDescent="0.35">
      <c r="A6" s="7">
        <v>1002</v>
      </c>
      <c r="B6" s="7" t="s">
        <v>66</v>
      </c>
      <c r="C6" s="7" t="s">
        <v>63</v>
      </c>
      <c r="D6" s="7" t="s">
        <v>67</v>
      </c>
      <c r="E6" s="8" t="str">
        <f>IFERROR(INDEX(Mapping!$B$5:$B$41,MATCH($D6,Mapping!$A$5:$A$41,0)),"UNMAPPED")</f>
        <v>Balance Sheet</v>
      </c>
      <c r="F6" s="8" t="str">
        <f>IFERROR(INDEX(Mapping!$D$5:$D$41,MATCH($D6,Mapping!$A$5:$A$41,0)),"UNMAPPED")</f>
        <v>Shareholders' funds</v>
      </c>
      <c r="G6" s="8" t="str">
        <f>IFERROR(INDEX(Mapping!$E$5:$E$41,MATCH($D6,Mapping!$A$5:$A$41,0)),"UNMAPPED")</f>
        <v>Reserves and surplus</v>
      </c>
      <c r="H6" s="9">
        <f>IFERROR(INDEX(Mapping!$F$5:$F$41,MATCH($D6,Mapping!$A$5:$A$41,0)),"UNMAPPED")</f>
        <v>2</v>
      </c>
      <c r="I6" s="7" t="s">
        <v>68</v>
      </c>
      <c r="J6" s="10"/>
      <c r="K6" s="11">
        <v>500</v>
      </c>
      <c r="L6" s="10"/>
      <c r="M6" s="11">
        <v>500</v>
      </c>
      <c r="N6" s="12">
        <f t="shared" si="0"/>
        <v>-500</v>
      </c>
      <c r="O6" s="12">
        <f t="shared" si="1"/>
        <v>-500</v>
      </c>
    </row>
    <row r="7" spans="1:15" x14ac:dyDescent="0.35">
      <c r="A7" s="7">
        <v>1003</v>
      </c>
      <c r="B7" s="7" t="s">
        <v>69</v>
      </c>
      <c r="C7" s="7" t="s">
        <v>63</v>
      </c>
      <c r="D7" s="7" t="s">
        <v>67</v>
      </c>
      <c r="E7" s="8" t="str">
        <f>IFERROR(INDEX(Mapping!$B$5:$B$41,MATCH($D7,Mapping!$A$5:$A$41,0)),"UNMAPPED")</f>
        <v>Balance Sheet</v>
      </c>
      <c r="F7" s="8" t="str">
        <f>IFERROR(INDEX(Mapping!$D$5:$D$41,MATCH($D7,Mapping!$A$5:$A$41,0)),"UNMAPPED")</f>
        <v>Shareholders' funds</v>
      </c>
      <c r="G7" s="8" t="str">
        <f>IFERROR(INDEX(Mapping!$E$5:$E$41,MATCH($D7,Mapping!$A$5:$A$41,0)),"UNMAPPED")</f>
        <v>Reserves and surplus</v>
      </c>
      <c r="H7" s="9">
        <f>IFERROR(INDEX(Mapping!$F$5:$F$41,MATCH($D7,Mapping!$A$5:$A$41,0)),"UNMAPPED")</f>
        <v>2</v>
      </c>
      <c r="I7" s="7" t="s">
        <v>70</v>
      </c>
      <c r="J7" s="10"/>
      <c r="K7" s="11">
        <v>300</v>
      </c>
      <c r="L7" s="10"/>
      <c r="M7" s="11">
        <v>300</v>
      </c>
      <c r="N7" s="12">
        <f t="shared" si="0"/>
        <v>-300</v>
      </c>
      <c r="O7" s="12">
        <f t="shared" si="1"/>
        <v>-300</v>
      </c>
    </row>
    <row r="8" spans="1:15" x14ac:dyDescent="0.35">
      <c r="A8" s="7">
        <v>1004</v>
      </c>
      <c r="B8" s="7" t="s">
        <v>71</v>
      </c>
      <c r="C8" s="7" t="s">
        <v>63</v>
      </c>
      <c r="D8" s="7" t="s">
        <v>67</v>
      </c>
      <c r="E8" s="8" t="str">
        <f>IFERROR(INDEX(Mapping!$B$5:$B$41,MATCH($D8,Mapping!$A$5:$A$41,0)),"UNMAPPED")</f>
        <v>Balance Sheet</v>
      </c>
      <c r="F8" s="8" t="str">
        <f>IFERROR(INDEX(Mapping!$D$5:$D$41,MATCH($D8,Mapping!$A$5:$A$41,0)),"UNMAPPED")</f>
        <v>Shareholders' funds</v>
      </c>
      <c r="G8" s="8" t="str">
        <f>IFERROR(INDEX(Mapping!$E$5:$E$41,MATCH($D8,Mapping!$A$5:$A$41,0)),"UNMAPPED")</f>
        <v>Reserves and surplus</v>
      </c>
      <c r="H8" s="9">
        <f>IFERROR(INDEX(Mapping!$F$5:$F$41,MATCH($D8,Mapping!$A$5:$A$41,0)),"UNMAPPED")</f>
        <v>2</v>
      </c>
      <c r="I8" s="7" t="s">
        <v>72</v>
      </c>
      <c r="J8" s="10"/>
      <c r="K8" s="11">
        <v>1071</v>
      </c>
      <c r="L8" s="10"/>
      <c r="M8" s="11">
        <v>513</v>
      </c>
      <c r="N8" s="12">
        <f t="shared" si="0"/>
        <v>-1071</v>
      </c>
      <c r="O8" s="12">
        <f t="shared" si="1"/>
        <v>-513</v>
      </c>
    </row>
    <row r="9" spans="1:15" x14ac:dyDescent="0.35">
      <c r="A9" s="7">
        <v>2001</v>
      </c>
      <c r="B9" s="7" t="s">
        <v>73</v>
      </c>
      <c r="C9" s="7" t="s">
        <v>74</v>
      </c>
      <c r="D9" s="7" t="s">
        <v>75</v>
      </c>
      <c r="E9" s="8" t="str">
        <f>IFERROR(INDEX(Mapping!$B$5:$B$41,MATCH($D9,Mapping!$A$5:$A$41,0)),"UNMAPPED")</f>
        <v>Balance Sheet</v>
      </c>
      <c r="F9" s="8" t="str">
        <f>IFERROR(INDEX(Mapping!$D$5:$D$41,MATCH($D9,Mapping!$A$5:$A$41,0)),"UNMAPPED")</f>
        <v>Non-current liabilities</v>
      </c>
      <c r="G9" s="8" t="str">
        <f>IFERROR(INDEX(Mapping!$E$5:$E$41,MATCH($D9,Mapping!$A$5:$A$41,0)),"UNMAPPED")</f>
        <v>Long-term borrowings</v>
      </c>
      <c r="H9" s="9">
        <f>IFERROR(INDEX(Mapping!$F$5:$F$41,MATCH($D9,Mapping!$A$5:$A$41,0)),"UNMAPPED")</f>
        <v>3</v>
      </c>
      <c r="I9" s="7" t="s">
        <v>76</v>
      </c>
      <c r="J9" s="10"/>
      <c r="K9" s="11">
        <v>1200</v>
      </c>
      <c r="L9" s="10"/>
      <c r="M9" s="11">
        <v>1500</v>
      </c>
      <c r="N9" s="12">
        <f t="shared" si="0"/>
        <v>-1200</v>
      </c>
      <c r="O9" s="12">
        <f t="shared" si="1"/>
        <v>-1500</v>
      </c>
    </row>
    <row r="10" spans="1:15" x14ac:dyDescent="0.35">
      <c r="A10" s="7">
        <v>2010</v>
      </c>
      <c r="B10" s="7" t="s">
        <v>77</v>
      </c>
      <c r="C10" s="7" t="s">
        <v>74</v>
      </c>
      <c r="D10" s="7" t="s">
        <v>78</v>
      </c>
      <c r="E10" s="8" t="str">
        <f>IFERROR(INDEX(Mapping!$B$5:$B$41,MATCH($D10,Mapping!$A$5:$A$41,0)),"UNMAPPED")</f>
        <v>Balance Sheet</v>
      </c>
      <c r="F10" s="8" t="str">
        <f>IFERROR(INDEX(Mapping!$D$5:$D$41,MATCH($D10,Mapping!$A$5:$A$41,0)),"UNMAPPED")</f>
        <v>Non-current liabilities</v>
      </c>
      <c r="G10" s="8" t="str">
        <f>IFERROR(INDEX(Mapping!$E$5:$E$41,MATCH($D10,Mapping!$A$5:$A$41,0)),"UNMAPPED")</f>
        <v>Deferred tax liabilities (net)</v>
      </c>
      <c r="H10" s="9">
        <f>IFERROR(INDEX(Mapping!$F$5:$F$41,MATCH($D10,Mapping!$A$5:$A$41,0)),"UNMAPPED")</f>
        <v>4</v>
      </c>
      <c r="I10" s="7" t="s">
        <v>79</v>
      </c>
      <c r="J10" s="10"/>
      <c r="K10" s="11">
        <v>95</v>
      </c>
      <c r="L10" s="10"/>
      <c r="M10" s="11">
        <v>80</v>
      </c>
      <c r="N10" s="12">
        <f t="shared" si="0"/>
        <v>-95</v>
      </c>
      <c r="O10" s="12">
        <f t="shared" si="1"/>
        <v>-80</v>
      </c>
    </row>
    <row r="11" spans="1:15" x14ac:dyDescent="0.35">
      <c r="A11" s="7">
        <v>2020</v>
      </c>
      <c r="B11" s="7" t="s">
        <v>80</v>
      </c>
      <c r="C11" s="7" t="s">
        <v>74</v>
      </c>
      <c r="D11" s="7" t="s">
        <v>81</v>
      </c>
      <c r="E11" s="8" t="str">
        <f>IFERROR(INDEX(Mapping!$B$5:$B$41,MATCH($D11,Mapping!$A$5:$A$41,0)),"UNMAPPED")</f>
        <v>Balance Sheet</v>
      </c>
      <c r="F11" s="8" t="str">
        <f>IFERROR(INDEX(Mapping!$D$5:$D$41,MATCH($D11,Mapping!$A$5:$A$41,0)),"UNMAPPED")</f>
        <v>Non-current liabilities</v>
      </c>
      <c r="G11" s="8" t="str">
        <f>IFERROR(INDEX(Mapping!$E$5:$E$41,MATCH($D11,Mapping!$A$5:$A$41,0)),"UNMAPPED")</f>
        <v>Long-term provisions</v>
      </c>
      <c r="H11" s="9">
        <f>IFERROR(INDEX(Mapping!$F$5:$F$41,MATCH($D11,Mapping!$A$5:$A$41,0)),"UNMAPPED")</f>
        <v>6</v>
      </c>
      <c r="I11" s="7" t="s">
        <v>82</v>
      </c>
      <c r="J11" s="10"/>
      <c r="K11" s="11">
        <v>150</v>
      </c>
      <c r="L11" s="10"/>
      <c r="M11" s="11">
        <v>120</v>
      </c>
      <c r="N11" s="12">
        <f t="shared" si="0"/>
        <v>-150</v>
      </c>
      <c r="O11" s="12">
        <f t="shared" si="1"/>
        <v>-120</v>
      </c>
    </row>
    <row r="12" spans="1:15" x14ac:dyDescent="0.35">
      <c r="A12" s="7">
        <v>2101</v>
      </c>
      <c r="B12" s="7" t="s">
        <v>83</v>
      </c>
      <c r="C12" s="7" t="s">
        <v>74</v>
      </c>
      <c r="D12" s="7" t="s">
        <v>84</v>
      </c>
      <c r="E12" s="8" t="str">
        <f>IFERROR(INDEX(Mapping!$B$5:$B$41,MATCH($D12,Mapping!$A$5:$A$41,0)),"UNMAPPED")</f>
        <v>Balance Sheet</v>
      </c>
      <c r="F12" s="8" t="str">
        <f>IFERROR(INDEX(Mapping!$D$5:$D$41,MATCH($D12,Mapping!$A$5:$A$41,0)),"UNMAPPED")</f>
        <v>Current liabilities</v>
      </c>
      <c r="G12" s="8" t="str">
        <f>IFERROR(INDEX(Mapping!$E$5:$E$41,MATCH($D12,Mapping!$A$5:$A$41,0)),"UNMAPPED")</f>
        <v>Short-term borrowings</v>
      </c>
      <c r="H12" s="9">
        <f>IFERROR(INDEX(Mapping!$F$5:$F$41,MATCH($D12,Mapping!$A$5:$A$41,0)),"UNMAPPED")</f>
        <v>7</v>
      </c>
      <c r="I12" s="7" t="s">
        <v>85</v>
      </c>
      <c r="J12" s="10"/>
      <c r="K12" s="11">
        <v>500</v>
      </c>
      <c r="L12" s="10"/>
      <c r="M12" s="11">
        <v>600</v>
      </c>
      <c r="N12" s="12">
        <f t="shared" si="0"/>
        <v>-500</v>
      </c>
      <c r="O12" s="12">
        <f t="shared" si="1"/>
        <v>-600</v>
      </c>
    </row>
    <row r="13" spans="1:15" x14ac:dyDescent="0.35">
      <c r="A13" s="7">
        <v>2110</v>
      </c>
      <c r="B13" s="7" t="s">
        <v>86</v>
      </c>
      <c r="C13" s="7" t="s">
        <v>74</v>
      </c>
      <c r="D13" s="7" t="s">
        <v>87</v>
      </c>
      <c r="E13" s="8" t="str">
        <f>IFERROR(INDEX(Mapping!$B$5:$B$41,MATCH($D13,Mapping!$A$5:$A$41,0)),"UNMAPPED")</f>
        <v>Balance Sheet</v>
      </c>
      <c r="F13" s="8" t="str">
        <f>IFERROR(INDEX(Mapping!$D$5:$D$41,MATCH($D13,Mapping!$A$5:$A$41,0)),"UNMAPPED")</f>
        <v>Current liabilities</v>
      </c>
      <c r="G13" s="8" t="str">
        <f>IFERROR(INDEX(Mapping!$E$5:$E$41,MATCH($D13,Mapping!$A$5:$A$41,0)),"UNMAPPED")</f>
        <v>Trade payables</v>
      </c>
      <c r="H13" s="9">
        <f>IFERROR(INDEX(Mapping!$F$5:$F$41,MATCH($D13,Mapping!$A$5:$A$41,0)),"UNMAPPED")</f>
        <v>8</v>
      </c>
      <c r="I13" s="7" t="s">
        <v>88</v>
      </c>
      <c r="J13" s="10"/>
      <c r="K13" s="11">
        <v>180</v>
      </c>
      <c r="L13" s="10"/>
      <c r="M13" s="11">
        <v>150</v>
      </c>
      <c r="N13" s="12">
        <f t="shared" si="0"/>
        <v>-180</v>
      </c>
      <c r="O13" s="12">
        <f t="shared" si="1"/>
        <v>-150</v>
      </c>
    </row>
    <row r="14" spans="1:15" x14ac:dyDescent="0.35">
      <c r="A14" s="7">
        <v>2111</v>
      </c>
      <c r="B14" s="7" t="s">
        <v>89</v>
      </c>
      <c r="C14" s="7" t="s">
        <v>74</v>
      </c>
      <c r="D14" s="7" t="s">
        <v>87</v>
      </c>
      <c r="E14" s="8" t="str">
        <f>IFERROR(INDEX(Mapping!$B$5:$B$41,MATCH($D14,Mapping!$A$5:$A$41,0)),"UNMAPPED")</f>
        <v>Balance Sheet</v>
      </c>
      <c r="F14" s="8" t="str">
        <f>IFERROR(INDEX(Mapping!$D$5:$D$41,MATCH($D14,Mapping!$A$5:$A$41,0)),"UNMAPPED")</f>
        <v>Current liabilities</v>
      </c>
      <c r="G14" s="8" t="str">
        <f>IFERROR(INDEX(Mapping!$E$5:$E$41,MATCH($D14,Mapping!$A$5:$A$41,0)),"UNMAPPED")</f>
        <v>Trade payables</v>
      </c>
      <c r="H14" s="9">
        <f>IFERROR(INDEX(Mapping!$F$5:$F$41,MATCH($D14,Mapping!$A$5:$A$41,0)),"UNMAPPED")</f>
        <v>8</v>
      </c>
      <c r="I14" s="7" t="s">
        <v>90</v>
      </c>
      <c r="J14" s="10"/>
      <c r="K14" s="11">
        <v>920</v>
      </c>
      <c r="L14" s="10"/>
      <c r="M14" s="11">
        <v>850</v>
      </c>
      <c r="N14" s="12">
        <f t="shared" si="0"/>
        <v>-920</v>
      </c>
      <c r="O14" s="12">
        <f t="shared" si="1"/>
        <v>-850</v>
      </c>
    </row>
    <row r="15" spans="1:15" x14ac:dyDescent="0.35">
      <c r="A15" s="7">
        <v>2120</v>
      </c>
      <c r="B15" s="7" t="s">
        <v>91</v>
      </c>
      <c r="C15" s="7" t="s">
        <v>74</v>
      </c>
      <c r="D15" s="7" t="s">
        <v>92</v>
      </c>
      <c r="E15" s="8" t="str">
        <f>IFERROR(INDEX(Mapping!$B$5:$B$41,MATCH($D15,Mapping!$A$5:$A$41,0)),"UNMAPPED")</f>
        <v>Balance Sheet</v>
      </c>
      <c r="F15" s="8" t="str">
        <f>IFERROR(INDEX(Mapping!$D$5:$D$41,MATCH($D15,Mapping!$A$5:$A$41,0)),"UNMAPPED")</f>
        <v>Current liabilities</v>
      </c>
      <c r="G15" s="8" t="str">
        <f>IFERROR(INDEX(Mapping!$E$5:$E$41,MATCH($D15,Mapping!$A$5:$A$41,0)),"UNMAPPED")</f>
        <v>Other current liabilities</v>
      </c>
      <c r="H15" s="9">
        <f>IFERROR(INDEX(Mapping!$F$5:$F$41,MATCH($D15,Mapping!$A$5:$A$41,0)),"UNMAPPED")</f>
        <v>9</v>
      </c>
      <c r="I15" s="7" t="s">
        <v>93</v>
      </c>
      <c r="J15" s="10"/>
      <c r="K15" s="11">
        <v>300</v>
      </c>
      <c r="L15" s="10"/>
      <c r="M15" s="11">
        <v>300</v>
      </c>
      <c r="N15" s="12">
        <f t="shared" si="0"/>
        <v>-300</v>
      </c>
      <c r="O15" s="12">
        <f t="shared" si="1"/>
        <v>-300</v>
      </c>
    </row>
    <row r="16" spans="1:15" x14ac:dyDescent="0.35">
      <c r="A16" s="7">
        <v>2121</v>
      </c>
      <c r="B16" s="7" t="s">
        <v>94</v>
      </c>
      <c r="C16" s="7" t="s">
        <v>74</v>
      </c>
      <c r="D16" s="7" t="s">
        <v>92</v>
      </c>
      <c r="E16" s="8" t="str">
        <f>IFERROR(INDEX(Mapping!$B$5:$B$41,MATCH($D16,Mapping!$A$5:$A$41,0)),"UNMAPPED")</f>
        <v>Balance Sheet</v>
      </c>
      <c r="F16" s="8" t="str">
        <f>IFERROR(INDEX(Mapping!$D$5:$D$41,MATCH($D16,Mapping!$A$5:$A$41,0)),"UNMAPPED")</f>
        <v>Current liabilities</v>
      </c>
      <c r="G16" s="8" t="str">
        <f>IFERROR(INDEX(Mapping!$E$5:$E$41,MATCH($D16,Mapping!$A$5:$A$41,0)),"UNMAPPED")</f>
        <v>Other current liabilities</v>
      </c>
      <c r="H16" s="9">
        <f>IFERROR(INDEX(Mapping!$F$5:$F$41,MATCH($D16,Mapping!$A$5:$A$41,0)),"UNMAPPED")</f>
        <v>9</v>
      </c>
      <c r="I16" s="7" t="s">
        <v>95</v>
      </c>
      <c r="J16" s="10"/>
      <c r="K16" s="11">
        <v>10</v>
      </c>
      <c r="L16" s="10"/>
      <c r="M16" s="11">
        <v>12</v>
      </c>
      <c r="N16" s="12">
        <f t="shared" si="0"/>
        <v>-10</v>
      </c>
      <c r="O16" s="12">
        <f t="shared" si="1"/>
        <v>-12</v>
      </c>
    </row>
    <row r="17" spans="1:15" x14ac:dyDescent="0.35">
      <c r="A17" s="7">
        <v>2122</v>
      </c>
      <c r="B17" s="7" t="s">
        <v>96</v>
      </c>
      <c r="C17" s="7" t="s">
        <v>74</v>
      </c>
      <c r="D17" s="7" t="s">
        <v>92</v>
      </c>
      <c r="E17" s="8" t="str">
        <f>IFERROR(INDEX(Mapping!$B$5:$B$41,MATCH($D17,Mapping!$A$5:$A$41,0)),"UNMAPPED")</f>
        <v>Balance Sheet</v>
      </c>
      <c r="F17" s="8" t="str">
        <f>IFERROR(INDEX(Mapping!$D$5:$D$41,MATCH($D17,Mapping!$A$5:$A$41,0)),"UNMAPPED")</f>
        <v>Current liabilities</v>
      </c>
      <c r="G17" s="8" t="str">
        <f>IFERROR(INDEX(Mapping!$E$5:$E$41,MATCH($D17,Mapping!$A$5:$A$41,0)),"UNMAPPED")</f>
        <v>Other current liabilities</v>
      </c>
      <c r="H17" s="9">
        <f>IFERROR(INDEX(Mapping!$F$5:$F$41,MATCH($D17,Mapping!$A$5:$A$41,0)),"UNMAPPED")</f>
        <v>9</v>
      </c>
      <c r="I17" s="7" t="s">
        <v>97</v>
      </c>
      <c r="J17" s="10"/>
      <c r="K17" s="11">
        <v>75</v>
      </c>
      <c r="L17" s="10"/>
      <c r="M17" s="11">
        <v>60</v>
      </c>
      <c r="N17" s="12">
        <f t="shared" si="0"/>
        <v>-75</v>
      </c>
      <c r="O17" s="12">
        <f t="shared" si="1"/>
        <v>-60</v>
      </c>
    </row>
    <row r="18" spans="1:15" x14ac:dyDescent="0.35">
      <c r="A18" s="7">
        <v>2123</v>
      </c>
      <c r="B18" s="7" t="s">
        <v>98</v>
      </c>
      <c r="C18" s="7" t="s">
        <v>74</v>
      </c>
      <c r="D18" s="7" t="s">
        <v>92</v>
      </c>
      <c r="E18" s="8" t="str">
        <f>IFERROR(INDEX(Mapping!$B$5:$B$41,MATCH($D18,Mapping!$A$5:$A$41,0)),"UNMAPPED")</f>
        <v>Balance Sheet</v>
      </c>
      <c r="F18" s="8" t="str">
        <f>IFERROR(INDEX(Mapping!$D$5:$D$41,MATCH($D18,Mapping!$A$5:$A$41,0)),"UNMAPPED")</f>
        <v>Current liabilities</v>
      </c>
      <c r="G18" s="8" t="str">
        <f>IFERROR(INDEX(Mapping!$E$5:$E$41,MATCH($D18,Mapping!$A$5:$A$41,0)),"UNMAPPED")</f>
        <v>Other current liabilities</v>
      </c>
      <c r="H18" s="9">
        <f>IFERROR(INDEX(Mapping!$F$5:$F$41,MATCH($D18,Mapping!$A$5:$A$41,0)),"UNMAPPED")</f>
        <v>9</v>
      </c>
      <c r="I18" s="7" t="s">
        <v>99</v>
      </c>
      <c r="J18" s="10"/>
      <c r="K18" s="11">
        <v>64</v>
      </c>
      <c r="L18" s="10"/>
      <c r="M18" s="11">
        <v>52</v>
      </c>
      <c r="N18" s="12">
        <f t="shared" si="0"/>
        <v>-64</v>
      </c>
      <c r="O18" s="12">
        <f t="shared" si="1"/>
        <v>-52</v>
      </c>
    </row>
    <row r="19" spans="1:15" x14ac:dyDescent="0.35">
      <c r="A19" s="7">
        <v>2124</v>
      </c>
      <c r="B19" s="7" t="s">
        <v>100</v>
      </c>
      <c r="C19" s="7" t="s">
        <v>74</v>
      </c>
      <c r="D19" s="7" t="s">
        <v>92</v>
      </c>
      <c r="E19" s="8" t="str">
        <f>IFERROR(INDEX(Mapping!$B$5:$B$41,MATCH($D19,Mapping!$A$5:$A$41,0)),"UNMAPPED")</f>
        <v>Balance Sheet</v>
      </c>
      <c r="F19" s="8" t="str">
        <f>IFERROR(INDEX(Mapping!$D$5:$D$41,MATCH($D19,Mapping!$A$5:$A$41,0)),"UNMAPPED")</f>
        <v>Current liabilities</v>
      </c>
      <c r="G19" s="8" t="str">
        <f>IFERROR(INDEX(Mapping!$E$5:$E$41,MATCH($D19,Mapping!$A$5:$A$41,0)),"UNMAPPED")</f>
        <v>Other current liabilities</v>
      </c>
      <c r="H19" s="9">
        <f>IFERROR(INDEX(Mapping!$F$5:$F$41,MATCH($D19,Mapping!$A$5:$A$41,0)),"UNMAPPED")</f>
        <v>9</v>
      </c>
      <c r="I19" s="7" t="s">
        <v>99</v>
      </c>
      <c r="J19" s="10"/>
      <c r="K19" s="11">
        <v>25</v>
      </c>
      <c r="L19" s="10"/>
      <c r="M19" s="11">
        <v>23</v>
      </c>
      <c r="N19" s="12">
        <f t="shared" si="0"/>
        <v>-25</v>
      </c>
      <c r="O19" s="12">
        <f t="shared" si="1"/>
        <v>-23</v>
      </c>
    </row>
    <row r="20" spans="1:15" x14ac:dyDescent="0.35">
      <c r="A20" s="7">
        <v>2125</v>
      </c>
      <c r="B20" s="7" t="s">
        <v>101</v>
      </c>
      <c r="C20" s="7" t="s">
        <v>74</v>
      </c>
      <c r="D20" s="7" t="s">
        <v>92</v>
      </c>
      <c r="E20" s="8" t="str">
        <f>IFERROR(INDEX(Mapping!$B$5:$B$41,MATCH($D20,Mapping!$A$5:$A$41,0)),"UNMAPPED")</f>
        <v>Balance Sheet</v>
      </c>
      <c r="F20" s="8" t="str">
        <f>IFERROR(INDEX(Mapping!$D$5:$D$41,MATCH($D20,Mapping!$A$5:$A$41,0)),"UNMAPPED")</f>
        <v>Current liabilities</v>
      </c>
      <c r="G20" s="8" t="str">
        <f>IFERROR(INDEX(Mapping!$E$5:$E$41,MATCH($D20,Mapping!$A$5:$A$41,0)),"UNMAPPED")</f>
        <v>Other current liabilities</v>
      </c>
      <c r="H20" s="9">
        <f>IFERROR(INDEX(Mapping!$F$5:$F$41,MATCH($D20,Mapping!$A$5:$A$41,0)),"UNMAPPED")</f>
        <v>9</v>
      </c>
      <c r="I20" s="7" t="s">
        <v>99</v>
      </c>
      <c r="J20" s="10"/>
      <c r="K20" s="11">
        <v>21</v>
      </c>
      <c r="L20" s="10"/>
      <c r="M20" s="11">
        <v>15</v>
      </c>
      <c r="N20" s="12">
        <f t="shared" si="0"/>
        <v>-21</v>
      </c>
      <c r="O20" s="12">
        <f t="shared" si="1"/>
        <v>-15</v>
      </c>
    </row>
    <row r="21" spans="1:15" x14ac:dyDescent="0.35">
      <c r="A21" s="7">
        <v>2126</v>
      </c>
      <c r="B21" s="7" t="s">
        <v>102</v>
      </c>
      <c r="C21" s="7" t="s">
        <v>74</v>
      </c>
      <c r="D21" s="7" t="s">
        <v>92</v>
      </c>
      <c r="E21" s="8" t="str">
        <f>IFERROR(INDEX(Mapping!$B$5:$B$41,MATCH($D21,Mapping!$A$5:$A$41,0)),"UNMAPPED")</f>
        <v>Balance Sheet</v>
      </c>
      <c r="F21" s="8" t="str">
        <f>IFERROR(INDEX(Mapping!$D$5:$D$41,MATCH($D21,Mapping!$A$5:$A$41,0)),"UNMAPPED")</f>
        <v>Current liabilities</v>
      </c>
      <c r="G21" s="8" t="str">
        <f>IFERROR(INDEX(Mapping!$E$5:$E$41,MATCH($D21,Mapping!$A$5:$A$41,0)),"UNMAPPED")</f>
        <v>Other current liabilities</v>
      </c>
      <c r="H21" s="9">
        <f>IFERROR(INDEX(Mapping!$F$5:$F$41,MATCH($D21,Mapping!$A$5:$A$41,0)),"UNMAPPED")</f>
        <v>9</v>
      </c>
      <c r="I21" s="7" t="s">
        <v>103</v>
      </c>
      <c r="J21" s="10"/>
      <c r="K21" s="11">
        <v>85</v>
      </c>
      <c r="L21" s="10"/>
      <c r="M21" s="11">
        <v>70</v>
      </c>
      <c r="N21" s="12">
        <f t="shared" si="0"/>
        <v>-85</v>
      </c>
      <c r="O21" s="12">
        <f t="shared" si="1"/>
        <v>-70</v>
      </c>
    </row>
    <row r="22" spans="1:15" x14ac:dyDescent="0.35">
      <c r="A22" s="7">
        <v>2130</v>
      </c>
      <c r="B22" s="7" t="s">
        <v>104</v>
      </c>
      <c r="C22" s="7" t="s">
        <v>74</v>
      </c>
      <c r="D22" s="7" t="s">
        <v>105</v>
      </c>
      <c r="E22" s="8" t="str">
        <f>IFERROR(INDEX(Mapping!$B$5:$B$41,MATCH($D22,Mapping!$A$5:$A$41,0)),"UNMAPPED")</f>
        <v>Balance Sheet</v>
      </c>
      <c r="F22" s="8" t="str">
        <f>IFERROR(INDEX(Mapping!$D$5:$D$41,MATCH($D22,Mapping!$A$5:$A$41,0)),"UNMAPPED")</f>
        <v>Current liabilities</v>
      </c>
      <c r="G22" s="8" t="str">
        <f>IFERROR(INDEX(Mapping!$E$5:$E$41,MATCH($D22,Mapping!$A$5:$A$41,0)),"UNMAPPED")</f>
        <v>Short-term provisions</v>
      </c>
      <c r="H22" s="9">
        <f>IFERROR(INDEX(Mapping!$F$5:$F$41,MATCH($D22,Mapping!$A$5:$A$41,0)),"UNMAPPED")</f>
        <v>10</v>
      </c>
      <c r="I22" s="7" t="s">
        <v>82</v>
      </c>
      <c r="J22" s="10"/>
      <c r="K22" s="11">
        <v>55</v>
      </c>
      <c r="L22" s="10"/>
      <c r="M22" s="11">
        <v>45</v>
      </c>
      <c r="N22" s="12">
        <f t="shared" si="0"/>
        <v>-55</v>
      </c>
      <c r="O22" s="12">
        <f t="shared" si="1"/>
        <v>-45</v>
      </c>
    </row>
    <row r="23" spans="1:15" x14ac:dyDescent="0.35">
      <c r="A23" s="7">
        <v>2131</v>
      </c>
      <c r="B23" s="7" t="s">
        <v>106</v>
      </c>
      <c r="C23" s="7" t="s">
        <v>74</v>
      </c>
      <c r="D23" s="7" t="s">
        <v>105</v>
      </c>
      <c r="E23" s="8" t="str">
        <f>IFERROR(INDEX(Mapping!$B$5:$B$41,MATCH($D23,Mapping!$A$5:$A$41,0)),"UNMAPPED")</f>
        <v>Balance Sheet</v>
      </c>
      <c r="F23" s="8" t="str">
        <f>IFERROR(INDEX(Mapping!$D$5:$D$41,MATCH($D23,Mapping!$A$5:$A$41,0)),"UNMAPPED")</f>
        <v>Current liabilities</v>
      </c>
      <c r="G23" s="8" t="str">
        <f>IFERROR(INDEX(Mapping!$E$5:$E$41,MATCH($D23,Mapping!$A$5:$A$41,0)),"UNMAPPED")</f>
        <v>Short-term provisions</v>
      </c>
      <c r="H23" s="9">
        <f>IFERROR(INDEX(Mapping!$F$5:$F$41,MATCH($D23,Mapping!$A$5:$A$41,0)),"UNMAPPED")</f>
        <v>10</v>
      </c>
      <c r="I23" s="7" t="s">
        <v>107</v>
      </c>
      <c r="J23" s="10"/>
      <c r="K23" s="11">
        <v>190</v>
      </c>
      <c r="L23" s="10"/>
      <c r="M23" s="11">
        <v>160</v>
      </c>
      <c r="N23" s="12">
        <f t="shared" si="0"/>
        <v>-190</v>
      </c>
      <c r="O23" s="12">
        <f t="shared" si="1"/>
        <v>-160</v>
      </c>
    </row>
    <row r="24" spans="1:15" x14ac:dyDescent="0.35">
      <c r="A24" s="7">
        <v>3001</v>
      </c>
      <c r="B24" s="7" t="s">
        <v>108</v>
      </c>
      <c r="C24" s="7" t="s">
        <v>109</v>
      </c>
      <c r="D24" s="7" t="s">
        <v>110</v>
      </c>
      <c r="E24" s="8" t="str">
        <f>IFERROR(INDEX(Mapping!$B$5:$B$41,MATCH($D24,Mapping!$A$5:$A$41,0)),"UNMAPPED")</f>
        <v>Balance Sheet</v>
      </c>
      <c r="F24" s="8" t="str">
        <f>IFERROR(INDEX(Mapping!$D$5:$D$41,MATCH($D24,Mapping!$A$5:$A$41,0)),"UNMAPPED")</f>
        <v>Non-current assets</v>
      </c>
      <c r="G24" s="8" t="str">
        <f>IFERROR(INDEX(Mapping!$E$5:$E$41,MATCH($D24,Mapping!$A$5:$A$41,0)),"UNMAPPED")</f>
        <v>Fixed assets - Tangible assets</v>
      </c>
      <c r="H24" s="9">
        <f>IFERROR(INDEX(Mapping!$F$5:$F$41,MATCH($D24,Mapping!$A$5:$A$41,0)),"UNMAPPED")</f>
        <v>11</v>
      </c>
      <c r="I24" s="7" t="s">
        <v>111</v>
      </c>
      <c r="J24" s="11">
        <v>800</v>
      </c>
      <c r="K24" s="10"/>
      <c r="L24" s="11">
        <v>800</v>
      </c>
      <c r="M24" s="10"/>
      <c r="N24" s="12">
        <f t="shared" si="0"/>
        <v>800</v>
      </c>
      <c r="O24" s="12">
        <f t="shared" si="1"/>
        <v>800</v>
      </c>
    </row>
    <row r="25" spans="1:15" x14ac:dyDescent="0.35">
      <c r="A25" s="7">
        <v>3002</v>
      </c>
      <c r="B25" s="7" t="s">
        <v>112</v>
      </c>
      <c r="C25" s="7" t="s">
        <v>109</v>
      </c>
      <c r="D25" s="7" t="s">
        <v>110</v>
      </c>
      <c r="E25" s="8" t="str">
        <f>IFERROR(INDEX(Mapping!$B$5:$B$41,MATCH($D25,Mapping!$A$5:$A$41,0)),"UNMAPPED")</f>
        <v>Balance Sheet</v>
      </c>
      <c r="F25" s="8" t="str">
        <f>IFERROR(INDEX(Mapping!$D$5:$D$41,MATCH($D25,Mapping!$A$5:$A$41,0)),"UNMAPPED")</f>
        <v>Non-current assets</v>
      </c>
      <c r="G25" s="8" t="str">
        <f>IFERROR(INDEX(Mapping!$E$5:$E$41,MATCH($D25,Mapping!$A$5:$A$41,0)),"UNMAPPED")</f>
        <v>Fixed assets - Tangible assets</v>
      </c>
      <c r="H25" s="9">
        <f>IFERROR(INDEX(Mapping!$F$5:$F$41,MATCH($D25,Mapping!$A$5:$A$41,0)),"UNMAPPED")</f>
        <v>11</v>
      </c>
      <c r="I25" s="7" t="s">
        <v>113</v>
      </c>
      <c r="J25" s="11">
        <v>900</v>
      </c>
      <c r="K25" s="10"/>
      <c r="L25" s="11">
        <v>900</v>
      </c>
      <c r="M25" s="10"/>
      <c r="N25" s="12">
        <f t="shared" si="0"/>
        <v>900</v>
      </c>
      <c r="O25" s="12">
        <f t="shared" si="1"/>
        <v>900</v>
      </c>
    </row>
    <row r="26" spans="1:15" x14ac:dyDescent="0.35">
      <c r="A26" s="7">
        <v>3003</v>
      </c>
      <c r="B26" s="7" t="s">
        <v>114</v>
      </c>
      <c r="C26" s="7" t="s">
        <v>109</v>
      </c>
      <c r="D26" s="7" t="s">
        <v>110</v>
      </c>
      <c r="E26" s="8" t="str">
        <f>IFERROR(INDEX(Mapping!$B$5:$B$41,MATCH($D26,Mapping!$A$5:$A$41,0)),"UNMAPPED")</f>
        <v>Balance Sheet</v>
      </c>
      <c r="F26" s="8" t="str">
        <f>IFERROR(INDEX(Mapping!$D$5:$D$41,MATCH($D26,Mapping!$A$5:$A$41,0)),"UNMAPPED")</f>
        <v>Non-current assets</v>
      </c>
      <c r="G26" s="8" t="str">
        <f>IFERROR(INDEX(Mapping!$E$5:$E$41,MATCH($D26,Mapping!$A$5:$A$41,0)),"UNMAPPED")</f>
        <v>Fixed assets - Tangible assets</v>
      </c>
      <c r="H26" s="9">
        <f>IFERROR(INDEX(Mapping!$F$5:$F$41,MATCH($D26,Mapping!$A$5:$A$41,0)),"UNMAPPED")</f>
        <v>11</v>
      </c>
      <c r="I26" s="7" t="s">
        <v>115</v>
      </c>
      <c r="J26" s="11">
        <v>2500</v>
      </c>
      <c r="K26" s="10"/>
      <c r="L26" s="11">
        <v>2200</v>
      </c>
      <c r="M26" s="10"/>
      <c r="N26" s="12">
        <f t="shared" si="0"/>
        <v>2500</v>
      </c>
      <c r="O26" s="12">
        <f t="shared" si="1"/>
        <v>2200</v>
      </c>
    </row>
    <row r="27" spans="1:15" x14ac:dyDescent="0.35">
      <c r="A27" s="7">
        <v>3004</v>
      </c>
      <c r="B27" s="7" t="s">
        <v>116</v>
      </c>
      <c r="C27" s="7" t="s">
        <v>109</v>
      </c>
      <c r="D27" s="7" t="s">
        <v>110</v>
      </c>
      <c r="E27" s="8" t="str">
        <f>IFERROR(INDEX(Mapping!$B$5:$B$41,MATCH($D27,Mapping!$A$5:$A$41,0)),"UNMAPPED")</f>
        <v>Balance Sheet</v>
      </c>
      <c r="F27" s="8" t="str">
        <f>IFERROR(INDEX(Mapping!$D$5:$D$41,MATCH($D27,Mapping!$A$5:$A$41,0)),"UNMAPPED")</f>
        <v>Non-current assets</v>
      </c>
      <c r="G27" s="8" t="str">
        <f>IFERROR(INDEX(Mapping!$E$5:$E$41,MATCH($D27,Mapping!$A$5:$A$41,0)),"UNMAPPED")</f>
        <v>Fixed assets - Tangible assets</v>
      </c>
      <c r="H27" s="9">
        <f>IFERROR(INDEX(Mapping!$F$5:$F$41,MATCH($D27,Mapping!$A$5:$A$41,0)),"UNMAPPED")</f>
        <v>11</v>
      </c>
      <c r="I27" s="7" t="s">
        <v>117</v>
      </c>
      <c r="J27" s="11">
        <v>170</v>
      </c>
      <c r="K27" s="10"/>
      <c r="L27" s="11">
        <v>150</v>
      </c>
      <c r="M27" s="10"/>
      <c r="N27" s="12">
        <f t="shared" si="0"/>
        <v>170</v>
      </c>
      <c r="O27" s="12">
        <f t="shared" si="1"/>
        <v>150</v>
      </c>
    </row>
    <row r="28" spans="1:15" x14ac:dyDescent="0.35">
      <c r="A28" s="7">
        <v>3005</v>
      </c>
      <c r="B28" s="7" t="s">
        <v>118</v>
      </c>
      <c r="C28" s="7" t="s">
        <v>109</v>
      </c>
      <c r="D28" s="7" t="s">
        <v>110</v>
      </c>
      <c r="E28" s="8" t="str">
        <f>IFERROR(INDEX(Mapping!$B$5:$B$41,MATCH($D28,Mapping!$A$5:$A$41,0)),"UNMAPPED")</f>
        <v>Balance Sheet</v>
      </c>
      <c r="F28" s="8" t="str">
        <f>IFERROR(INDEX(Mapping!$D$5:$D$41,MATCH($D28,Mapping!$A$5:$A$41,0)),"UNMAPPED")</f>
        <v>Non-current assets</v>
      </c>
      <c r="G28" s="8" t="str">
        <f>IFERROR(INDEX(Mapping!$E$5:$E$41,MATCH($D28,Mapping!$A$5:$A$41,0)),"UNMAPPED")</f>
        <v>Fixed assets - Tangible assets</v>
      </c>
      <c r="H28" s="9">
        <f>IFERROR(INDEX(Mapping!$F$5:$F$41,MATCH($D28,Mapping!$A$5:$A$41,0)),"UNMAPPED")</f>
        <v>11</v>
      </c>
      <c r="I28" s="7" t="s">
        <v>119</v>
      </c>
      <c r="J28" s="11">
        <v>120</v>
      </c>
      <c r="K28" s="10"/>
      <c r="L28" s="11">
        <v>120</v>
      </c>
      <c r="M28" s="10"/>
      <c r="N28" s="12">
        <f t="shared" si="0"/>
        <v>120</v>
      </c>
      <c r="O28" s="12">
        <f t="shared" si="1"/>
        <v>120</v>
      </c>
    </row>
    <row r="29" spans="1:15" x14ac:dyDescent="0.35">
      <c r="A29" s="7">
        <v>3006</v>
      </c>
      <c r="B29" s="7" t="s">
        <v>120</v>
      </c>
      <c r="C29" s="7" t="s">
        <v>109</v>
      </c>
      <c r="D29" s="7" t="s">
        <v>110</v>
      </c>
      <c r="E29" s="8" t="str">
        <f>IFERROR(INDEX(Mapping!$B$5:$B$41,MATCH($D29,Mapping!$A$5:$A$41,0)),"UNMAPPED")</f>
        <v>Balance Sheet</v>
      </c>
      <c r="F29" s="8" t="str">
        <f>IFERROR(INDEX(Mapping!$D$5:$D$41,MATCH($D29,Mapping!$A$5:$A$41,0)),"UNMAPPED")</f>
        <v>Non-current assets</v>
      </c>
      <c r="G29" s="8" t="str">
        <f>IFERROR(INDEX(Mapping!$E$5:$E$41,MATCH($D29,Mapping!$A$5:$A$41,0)),"UNMAPPED")</f>
        <v>Fixed assets - Tangible assets</v>
      </c>
      <c r="H29" s="9">
        <f>IFERROR(INDEX(Mapping!$F$5:$F$41,MATCH($D29,Mapping!$A$5:$A$41,0)),"UNMAPPED")</f>
        <v>11</v>
      </c>
      <c r="I29" s="7" t="s">
        <v>121</v>
      </c>
      <c r="J29" s="11">
        <v>150</v>
      </c>
      <c r="K29" s="10"/>
      <c r="L29" s="11">
        <v>130</v>
      </c>
      <c r="M29" s="10"/>
      <c r="N29" s="12">
        <f t="shared" si="0"/>
        <v>150</v>
      </c>
      <c r="O29" s="12">
        <f t="shared" si="1"/>
        <v>130</v>
      </c>
    </row>
    <row r="30" spans="1:15" x14ac:dyDescent="0.35">
      <c r="A30" s="7">
        <v>3011</v>
      </c>
      <c r="B30" s="7" t="s">
        <v>122</v>
      </c>
      <c r="C30" s="7" t="s">
        <v>109</v>
      </c>
      <c r="D30" s="7" t="s">
        <v>110</v>
      </c>
      <c r="E30" s="8" t="str">
        <f>IFERROR(INDEX(Mapping!$B$5:$B$41,MATCH($D30,Mapping!$A$5:$A$41,0)),"UNMAPPED")</f>
        <v>Balance Sheet</v>
      </c>
      <c r="F30" s="8" t="str">
        <f>IFERROR(INDEX(Mapping!$D$5:$D$41,MATCH($D30,Mapping!$A$5:$A$41,0)),"UNMAPPED")</f>
        <v>Non-current assets</v>
      </c>
      <c r="G30" s="8" t="str">
        <f>IFERROR(INDEX(Mapping!$E$5:$E$41,MATCH($D30,Mapping!$A$5:$A$41,0)),"UNMAPPED")</f>
        <v>Fixed assets - Tangible assets</v>
      </c>
      <c r="H30" s="9">
        <f>IFERROR(INDEX(Mapping!$F$5:$F$41,MATCH($D30,Mapping!$A$5:$A$41,0)),"UNMAPPED")</f>
        <v>11</v>
      </c>
      <c r="I30" s="7" t="s">
        <v>123</v>
      </c>
      <c r="J30" s="10"/>
      <c r="K30" s="11">
        <v>225</v>
      </c>
      <c r="L30" s="10"/>
      <c r="M30" s="11">
        <v>180</v>
      </c>
      <c r="N30" s="12">
        <f t="shared" si="0"/>
        <v>-225</v>
      </c>
      <c r="O30" s="12">
        <f t="shared" si="1"/>
        <v>-180</v>
      </c>
    </row>
    <row r="31" spans="1:15" x14ac:dyDescent="0.35">
      <c r="A31" s="7">
        <v>3012</v>
      </c>
      <c r="B31" s="7" t="s">
        <v>124</v>
      </c>
      <c r="C31" s="7" t="s">
        <v>109</v>
      </c>
      <c r="D31" s="7" t="s">
        <v>110</v>
      </c>
      <c r="E31" s="8" t="str">
        <f>IFERROR(INDEX(Mapping!$B$5:$B$41,MATCH($D31,Mapping!$A$5:$A$41,0)),"UNMAPPED")</f>
        <v>Balance Sheet</v>
      </c>
      <c r="F31" s="8" t="str">
        <f>IFERROR(INDEX(Mapping!$D$5:$D$41,MATCH($D31,Mapping!$A$5:$A$41,0)),"UNMAPPED")</f>
        <v>Non-current assets</v>
      </c>
      <c r="G31" s="8" t="str">
        <f>IFERROR(INDEX(Mapping!$E$5:$E$41,MATCH($D31,Mapping!$A$5:$A$41,0)),"UNMAPPED")</f>
        <v>Fixed assets - Tangible assets</v>
      </c>
      <c r="H31" s="9">
        <f>IFERROR(INDEX(Mapping!$F$5:$F$41,MATCH($D31,Mapping!$A$5:$A$41,0)),"UNMAPPED")</f>
        <v>11</v>
      </c>
      <c r="I31" s="7" t="s">
        <v>125</v>
      </c>
      <c r="J31" s="10"/>
      <c r="K31" s="11">
        <v>950</v>
      </c>
      <c r="L31" s="10"/>
      <c r="M31" s="11">
        <v>700</v>
      </c>
      <c r="N31" s="12">
        <f t="shared" si="0"/>
        <v>-950</v>
      </c>
      <c r="O31" s="12">
        <f t="shared" si="1"/>
        <v>-700</v>
      </c>
    </row>
    <row r="32" spans="1:15" x14ac:dyDescent="0.35">
      <c r="A32" s="7">
        <v>3013</v>
      </c>
      <c r="B32" s="7" t="s">
        <v>126</v>
      </c>
      <c r="C32" s="7" t="s">
        <v>109</v>
      </c>
      <c r="D32" s="7" t="s">
        <v>110</v>
      </c>
      <c r="E32" s="8" t="str">
        <f>IFERROR(INDEX(Mapping!$B$5:$B$41,MATCH($D32,Mapping!$A$5:$A$41,0)),"UNMAPPED")</f>
        <v>Balance Sheet</v>
      </c>
      <c r="F32" s="8" t="str">
        <f>IFERROR(INDEX(Mapping!$D$5:$D$41,MATCH($D32,Mapping!$A$5:$A$41,0)),"UNMAPPED")</f>
        <v>Non-current assets</v>
      </c>
      <c r="G32" s="8" t="str">
        <f>IFERROR(INDEX(Mapping!$E$5:$E$41,MATCH($D32,Mapping!$A$5:$A$41,0)),"UNMAPPED")</f>
        <v>Fixed assets - Tangible assets</v>
      </c>
      <c r="H32" s="9">
        <f>IFERROR(INDEX(Mapping!$F$5:$F$41,MATCH($D32,Mapping!$A$5:$A$41,0)),"UNMAPPED")</f>
        <v>11</v>
      </c>
      <c r="I32" s="7" t="s">
        <v>127</v>
      </c>
      <c r="J32" s="10"/>
      <c r="K32" s="11">
        <v>75</v>
      </c>
      <c r="L32" s="10"/>
      <c r="M32" s="11">
        <v>60</v>
      </c>
      <c r="N32" s="12">
        <f t="shared" si="0"/>
        <v>-75</v>
      </c>
      <c r="O32" s="12">
        <f t="shared" si="1"/>
        <v>-60</v>
      </c>
    </row>
    <row r="33" spans="1:15" x14ac:dyDescent="0.35">
      <c r="A33" s="7">
        <v>3014</v>
      </c>
      <c r="B33" s="7" t="s">
        <v>128</v>
      </c>
      <c r="C33" s="7" t="s">
        <v>109</v>
      </c>
      <c r="D33" s="7" t="s">
        <v>110</v>
      </c>
      <c r="E33" s="8" t="str">
        <f>IFERROR(INDEX(Mapping!$B$5:$B$41,MATCH($D33,Mapping!$A$5:$A$41,0)),"UNMAPPED")</f>
        <v>Balance Sheet</v>
      </c>
      <c r="F33" s="8" t="str">
        <f>IFERROR(INDEX(Mapping!$D$5:$D$41,MATCH($D33,Mapping!$A$5:$A$41,0)),"UNMAPPED")</f>
        <v>Non-current assets</v>
      </c>
      <c r="G33" s="8" t="str">
        <f>IFERROR(INDEX(Mapping!$E$5:$E$41,MATCH($D33,Mapping!$A$5:$A$41,0)),"UNMAPPED")</f>
        <v>Fixed assets - Tangible assets</v>
      </c>
      <c r="H33" s="9">
        <f>IFERROR(INDEX(Mapping!$F$5:$F$41,MATCH($D33,Mapping!$A$5:$A$41,0)),"UNMAPPED")</f>
        <v>11</v>
      </c>
      <c r="I33" s="7" t="s">
        <v>129</v>
      </c>
      <c r="J33" s="10"/>
      <c r="K33" s="11">
        <v>70</v>
      </c>
      <c r="L33" s="10"/>
      <c r="M33" s="11">
        <v>50</v>
      </c>
      <c r="N33" s="12">
        <f t="shared" si="0"/>
        <v>-70</v>
      </c>
      <c r="O33" s="12">
        <f t="shared" si="1"/>
        <v>-50</v>
      </c>
    </row>
    <row r="34" spans="1:15" x14ac:dyDescent="0.35">
      <c r="A34" s="7">
        <v>3015</v>
      </c>
      <c r="B34" s="7" t="s">
        <v>130</v>
      </c>
      <c r="C34" s="7" t="s">
        <v>109</v>
      </c>
      <c r="D34" s="7" t="s">
        <v>110</v>
      </c>
      <c r="E34" s="8" t="str">
        <f>IFERROR(INDEX(Mapping!$B$5:$B$41,MATCH($D34,Mapping!$A$5:$A$41,0)),"UNMAPPED")</f>
        <v>Balance Sheet</v>
      </c>
      <c r="F34" s="8" t="str">
        <f>IFERROR(INDEX(Mapping!$D$5:$D$41,MATCH($D34,Mapping!$A$5:$A$41,0)),"UNMAPPED")</f>
        <v>Non-current assets</v>
      </c>
      <c r="G34" s="8" t="str">
        <f>IFERROR(INDEX(Mapping!$E$5:$E$41,MATCH($D34,Mapping!$A$5:$A$41,0)),"UNMAPPED")</f>
        <v>Fixed assets - Tangible assets</v>
      </c>
      <c r="H34" s="9">
        <f>IFERROR(INDEX(Mapping!$F$5:$F$41,MATCH($D34,Mapping!$A$5:$A$41,0)),"UNMAPPED")</f>
        <v>11</v>
      </c>
      <c r="I34" s="7" t="s">
        <v>131</v>
      </c>
      <c r="J34" s="10"/>
      <c r="K34" s="11">
        <v>95</v>
      </c>
      <c r="L34" s="10"/>
      <c r="M34" s="11">
        <v>70</v>
      </c>
      <c r="N34" s="12">
        <f t="shared" si="0"/>
        <v>-95</v>
      </c>
      <c r="O34" s="12">
        <f t="shared" si="1"/>
        <v>-70</v>
      </c>
    </row>
    <row r="35" spans="1:15" x14ac:dyDescent="0.35">
      <c r="A35" s="7">
        <v>3021</v>
      </c>
      <c r="B35" s="7" t="s">
        <v>132</v>
      </c>
      <c r="C35" s="7" t="s">
        <v>109</v>
      </c>
      <c r="D35" s="7" t="s">
        <v>133</v>
      </c>
      <c r="E35" s="8" t="str">
        <f>IFERROR(INDEX(Mapping!$B$5:$B$41,MATCH($D35,Mapping!$A$5:$A$41,0)),"UNMAPPED")</f>
        <v>Balance Sheet</v>
      </c>
      <c r="F35" s="8" t="str">
        <f>IFERROR(INDEX(Mapping!$D$5:$D$41,MATCH($D35,Mapping!$A$5:$A$41,0)),"UNMAPPED")</f>
        <v>Non-current assets</v>
      </c>
      <c r="G35" s="8" t="str">
        <f>IFERROR(INDEX(Mapping!$E$5:$E$41,MATCH($D35,Mapping!$A$5:$A$41,0)),"UNMAPPED")</f>
        <v>Fixed assets - Intangible assets</v>
      </c>
      <c r="H35" s="9">
        <f>IFERROR(INDEX(Mapping!$F$5:$F$41,MATCH($D35,Mapping!$A$5:$A$41,0)),"UNMAPPED")</f>
        <v>12</v>
      </c>
      <c r="I35" s="7" t="s">
        <v>134</v>
      </c>
      <c r="J35" s="11">
        <v>100</v>
      </c>
      <c r="K35" s="10"/>
      <c r="L35" s="11">
        <v>80</v>
      </c>
      <c r="M35" s="10"/>
      <c r="N35" s="12">
        <f t="shared" si="0"/>
        <v>100</v>
      </c>
      <c r="O35" s="12">
        <f t="shared" si="1"/>
        <v>80</v>
      </c>
    </row>
    <row r="36" spans="1:15" x14ac:dyDescent="0.35">
      <c r="A36" s="7">
        <v>3022</v>
      </c>
      <c r="B36" s="7" t="s">
        <v>135</v>
      </c>
      <c r="C36" s="7" t="s">
        <v>109</v>
      </c>
      <c r="D36" s="7" t="s">
        <v>133</v>
      </c>
      <c r="E36" s="8" t="str">
        <f>IFERROR(INDEX(Mapping!$B$5:$B$41,MATCH($D36,Mapping!$A$5:$A$41,0)),"UNMAPPED")</f>
        <v>Balance Sheet</v>
      </c>
      <c r="F36" s="8" t="str">
        <f>IFERROR(INDEX(Mapping!$D$5:$D$41,MATCH($D36,Mapping!$A$5:$A$41,0)),"UNMAPPED")</f>
        <v>Non-current assets</v>
      </c>
      <c r="G36" s="8" t="str">
        <f>IFERROR(INDEX(Mapping!$E$5:$E$41,MATCH($D36,Mapping!$A$5:$A$41,0)),"UNMAPPED")</f>
        <v>Fixed assets - Intangible assets</v>
      </c>
      <c r="H36" s="9">
        <f>IFERROR(INDEX(Mapping!$F$5:$F$41,MATCH($D36,Mapping!$A$5:$A$41,0)),"UNMAPPED")</f>
        <v>12</v>
      </c>
      <c r="I36" s="7" t="s">
        <v>136</v>
      </c>
      <c r="J36" s="10"/>
      <c r="K36" s="11">
        <v>45</v>
      </c>
      <c r="L36" s="10"/>
      <c r="M36" s="11">
        <v>30</v>
      </c>
      <c r="N36" s="12">
        <f t="shared" si="0"/>
        <v>-45</v>
      </c>
      <c r="O36" s="12">
        <f t="shared" si="1"/>
        <v>-30</v>
      </c>
    </row>
    <row r="37" spans="1:15" x14ac:dyDescent="0.35">
      <c r="A37" s="7">
        <v>3031</v>
      </c>
      <c r="B37" s="7" t="s">
        <v>137</v>
      </c>
      <c r="C37" s="7" t="s">
        <v>109</v>
      </c>
      <c r="D37" s="7" t="s">
        <v>138</v>
      </c>
      <c r="E37" s="8" t="str">
        <f>IFERROR(INDEX(Mapping!$B$5:$B$41,MATCH($D37,Mapping!$A$5:$A$41,0)),"UNMAPPED")</f>
        <v>Balance Sheet</v>
      </c>
      <c r="F37" s="8" t="str">
        <f>IFERROR(INDEX(Mapping!$D$5:$D$41,MATCH($D37,Mapping!$A$5:$A$41,0)),"UNMAPPED")</f>
        <v>Non-current assets</v>
      </c>
      <c r="G37" s="8" t="str">
        <f>IFERROR(INDEX(Mapping!$E$5:$E$41,MATCH($D37,Mapping!$A$5:$A$41,0)),"UNMAPPED")</f>
        <v>Fixed assets - Capital work-in-progress</v>
      </c>
      <c r="H37" s="9">
        <f>IFERROR(INDEX(Mapping!$F$5:$F$41,MATCH($D37,Mapping!$A$5:$A$41,0)),"UNMAPPED")</f>
        <v>13</v>
      </c>
      <c r="I37" s="7" t="s">
        <v>139</v>
      </c>
      <c r="J37" s="11">
        <v>200</v>
      </c>
      <c r="K37" s="10"/>
      <c r="L37" s="11">
        <v>150</v>
      </c>
      <c r="M37" s="10"/>
      <c r="N37" s="12">
        <f t="shared" ref="N37:N68" si="2">J37-K37</f>
        <v>200</v>
      </c>
      <c r="O37" s="12">
        <f t="shared" ref="O37:O68" si="3">L37-M37</f>
        <v>150</v>
      </c>
    </row>
    <row r="38" spans="1:15" x14ac:dyDescent="0.35">
      <c r="A38" s="7">
        <v>3041</v>
      </c>
      <c r="B38" s="7" t="s">
        <v>140</v>
      </c>
      <c r="C38" s="7" t="s">
        <v>109</v>
      </c>
      <c r="D38" s="7" t="s">
        <v>141</v>
      </c>
      <c r="E38" s="8" t="str">
        <f>IFERROR(INDEX(Mapping!$B$5:$B$41,MATCH($D38,Mapping!$A$5:$A$41,0)),"UNMAPPED")</f>
        <v>Balance Sheet</v>
      </c>
      <c r="F38" s="8" t="str">
        <f>IFERROR(INDEX(Mapping!$D$5:$D$41,MATCH($D38,Mapping!$A$5:$A$41,0)),"UNMAPPED")</f>
        <v>Non-current assets</v>
      </c>
      <c r="G38" s="8" t="str">
        <f>IFERROR(INDEX(Mapping!$E$5:$E$41,MATCH($D38,Mapping!$A$5:$A$41,0)),"UNMAPPED")</f>
        <v>Non-current investments</v>
      </c>
      <c r="H38" s="9">
        <f>IFERROR(INDEX(Mapping!$F$5:$F$41,MATCH($D38,Mapping!$A$5:$A$41,0)),"UNMAPPED")</f>
        <v>15</v>
      </c>
      <c r="I38" s="7" t="s">
        <v>142</v>
      </c>
      <c r="J38" s="11">
        <v>250</v>
      </c>
      <c r="K38" s="10"/>
      <c r="L38" s="11">
        <v>250</v>
      </c>
      <c r="M38" s="10"/>
      <c r="N38" s="12">
        <f t="shared" si="2"/>
        <v>250</v>
      </c>
      <c r="O38" s="12">
        <f t="shared" si="3"/>
        <v>250</v>
      </c>
    </row>
    <row r="39" spans="1:15" x14ac:dyDescent="0.35">
      <c r="A39" s="7">
        <v>3051</v>
      </c>
      <c r="B39" s="7" t="s">
        <v>143</v>
      </c>
      <c r="C39" s="7" t="s">
        <v>109</v>
      </c>
      <c r="D39" s="7" t="s">
        <v>144</v>
      </c>
      <c r="E39" s="8" t="str">
        <f>IFERROR(INDEX(Mapping!$B$5:$B$41,MATCH($D39,Mapping!$A$5:$A$41,0)),"UNMAPPED")</f>
        <v>Balance Sheet</v>
      </c>
      <c r="F39" s="8" t="str">
        <f>IFERROR(INDEX(Mapping!$D$5:$D$41,MATCH($D39,Mapping!$A$5:$A$41,0)),"UNMAPPED")</f>
        <v>Non-current assets</v>
      </c>
      <c r="G39" s="8" t="str">
        <f>IFERROR(INDEX(Mapping!$E$5:$E$41,MATCH($D39,Mapping!$A$5:$A$41,0)),"UNMAPPED")</f>
        <v>Long-term loans and advances</v>
      </c>
      <c r="H39" s="9">
        <f>IFERROR(INDEX(Mapping!$F$5:$F$41,MATCH($D39,Mapping!$A$5:$A$41,0)),"UNMAPPED")</f>
        <v>17</v>
      </c>
      <c r="I39" s="7" t="s">
        <v>145</v>
      </c>
      <c r="J39" s="11">
        <v>65</v>
      </c>
      <c r="K39" s="10"/>
      <c r="L39" s="11">
        <v>60</v>
      </c>
      <c r="M39" s="10"/>
      <c r="N39" s="12">
        <f t="shared" si="2"/>
        <v>65</v>
      </c>
      <c r="O39" s="12">
        <f t="shared" si="3"/>
        <v>60</v>
      </c>
    </row>
    <row r="40" spans="1:15" x14ac:dyDescent="0.35">
      <c r="A40" s="7">
        <v>3052</v>
      </c>
      <c r="B40" s="7" t="s">
        <v>146</v>
      </c>
      <c r="C40" s="7" t="s">
        <v>109</v>
      </c>
      <c r="D40" s="7" t="s">
        <v>144</v>
      </c>
      <c r="E40" s="8" t="str">
        <f>IFERROR(INDEX(Mapping!$B$5:$B$41,MATCH($D40,Mapping!$A$5:$A$41,0)),"UNMAPPED")</f>
        <v>Balance Sheet</v>
      </c>
      <c r="F40" s="8" t="str">
        <f>IFERROR(INDEX(Mapping!$D$5:$D$41,MATCH($D40,Mapping!$A$5:$A$41,0)),"UNMAPPED")</f>
        <v>Non-current assets</v>
      </c>
      <c r="G40" s="8" t="str">
        <f>IFERROR(INDEX(Mapping!$E$5:$E$41,MATCH($D40,Mapping!$A$5:$A$41,0)),"UNMAPPED")</f>
        <v>Long-term loans and advances</v>
      </c>
      <c r="H40" s="9">
        <f>IFERROR(INDEX(Mapping!$F$5:$F$41,MATCH($D40,Mapping!$A$5:$A$41,0)),"UNMAPPED")</f>
        <v>17</v>
      </c>
      <c r="I40" s="7" t="s">
        <v>147</v>
      </c>
      <c r="J40" s="11">
        <v>30</v>
      </c>
      <c r="K40" s="10"/>
      <c r="L40" s="11">
        <v>40</v>
      </c>
      <c r="M40" s="10"/>
      <c r="N40" s="12">
        <f t="shared" si="2"/>
        <v>30</v>
      </c>
      <c r="O40" s="12">
        <f t="shared" si="3"/>
        <v>40</v>
      </c>
    </row>
    <row r="41" spans="1:15" x14ac:dyDescent="0.35">
      <c r="A41" s="7">
        <v>3061</v>
      </c>
      <c r="B41" s="7" t="s">
        <v>148</v>
      </c>
      <c r="C41" s="7" t="s">
        <v>109</v>
      </c>
      <c r="D41" s="7" t="s">
        <v>149</v>
      </c>
      <c r="E41" s="8" t="str">
        <f>IFERROR(INDEX(Mapping!$B$5:$B$41,MATCH($D41,Mapping!$A$5:$A$41,0)),"UNMAPPED")</f>
        <v>Balance Sheet</v>
      </c>
      <c r="F41" s="8" t="str">
        <f>IFERROR(INDEX(Mapping!$D$5:$D$41,MATCH($D41,Mapping!$A$5:$A$41,0)),"UNMAPPED")</f>
        <v>Non-current assets</v>
      </c>
      <c r="G41" s="8" t="str">
        <f>IFERROR(INDEX(Mapping!$E$5:$E$41,MATCH($D41,Mapping!$A$5:$A$41,0)),"UNMAPPED")</f>
        <v>Other non-current assets</v>
      </c>
      <c r="H41" s="9">
        <f>IFERROR(INDEX(Mapping!$F$5:$F$41,MATCH($D41,Mapping!$A$5:$A$41,0)),"UNMAPPED")</f>
        <v>18</v>
      </c>
      <c r="I41" s="7" t="s">
        <v>150</v>
      </c>
      <c r="J41" s="11">
        <v>50</v>
      </c>
      <c r="K41" s="10"/>
      <c r="L41" s="11">
        <v>50</v>
      </c>
      <c r="M41" s="10"/>
      <c r="N41" s="12">
        <f t="shared" si="2"/>
        <v>50</v>
      </c>
      <c r="O41" s="12">
        <f t="shared" si="3"/>
        <v>50</v>
      </c>
    </row>
    <row r="42" spans="1:15" x14ac:dyDescent="0.35">
      <c r="A42" s="7">
        <v>3101</v>
      </c>
      <c r="B42" s="7" t="s">
        <v>151</v>
      </c>
      <c r="C42" s="7" t="s">
        <v>109</v>
      </c>
      <c r="D42" s="7" t="s">
        <v>152</v>
      </c>
      <c r="E42" s="8" t="str">
        <f>IFERROR(INDEX(Mapping!$B$5:$B$41,MATCH($D42,Mapping!$A$5:$A$41,0)),"UNMAPPED")</f>
        <v>Balance Sheet</v>
      </c>
      <c r="F42" s="8" t="str">
        <f>IFERROR(INDEX(Mapping!$D$5:$D$41,MATCH($D42,Mapping!$A$5:$A$41,0)),"UNMAPPED")</f>
        <v>Current assets</v>
      </c>
      <c r="G42" s="8" t="str">
        <f>IFERROR(INDEX(Mapping!$E$5:$E$41,MATCH($D42,Mapping!$A$5:$A$41,0)),"UNMAPPED")</f>
        <v>Current investments</v>
      </c>
      <c r="H42" s="9">
        <f>IFERROR(INDEX(Mapping!$F$5:$F$41,MATCH($D42,Mapping!$A$5:$A$41,0)),"UNMAPPED")</f>
        <v>19</v>
      </c>
      <c r="I42" s="7" t="s">
        <v>153</v>
      </c>
      <c r="J42" s="11">
        <v>150</v>
      </c>
      <c r="K42" s="10"/>
      <c r="L42" s="11">
        <v>100</v>
      </c>
      <c r="M42" s="10"/>
      <c r="N42" s="12">
        <f t="shared" si="2"/>
        <v>150</v>
      </c>
      <c r="O42" s="12">
        <f t="shared" si="3"/>
        <v>100</v>
      </c>
    </row>
    <row r="43" spans="1:15" x14ac:dyDescent="0.35">
      <c r="A43" s="7">
        <v>3111</v>
      </c>
      <c r="B43" s="7" t="s">
        <v>154</v>
      </c>
      <c r="C43" s="7" t="s">
        <v>109</v>
      </c>
      <c r="D43" s="7" t="s">
        <v>155</v>
      </c>
      <c r="E43" s="8" t="str">
        <f>IFERROR(INDEX(Mapping!$B$5:$B$41,MATCH($D43,Mapping!$A$5:$A$41,0)),"UNMAPPED")</f>
        <v>Balance Sheet</v>
      </c>
      <c r="F43" s="8" t="str">
        <f>IFERROR(INDEX(Mapping!$D$5:$D$41,MATCH($D43,Mapping!$A$5:$A$41,0)),"UNMAPPED")</f>
        <v>Current assets</v>
      </c>
      <c r="G43" s="8" t="str">
        <f>IFERROR(INDEX(Mapping!$E$5:$E$41,MATCH($D43,Mapping!$A$5:$A$41,0)),"UNMAPPED")</f>
        <v>Inventories</v>
      </c>
      <c r="H43" s="9">
        <f>IFERROR(INDEX(Mapping!$F$5:$F$41,MATCH($D43,Mapping!$A$5:$A$41,0)),"UNMAPPED")</f>
        <v>20</v>
      </c>
      <c r="I43" s="7" t="s">
        <v>156</v>
      </c>
      <c r="J43" s="11">
        <v>520</v>
      </c>
      <c r="K43" s="10"/>
      <c r="L43" s="11">
        <v>450</v>
      </c>
      <c r="M43" s="10"/>
      <c r="N43" s="12">
        <f t="shared" si="2"/>
        <v>520</v>
      </c>
      <c r="O43" s="12">
        <f t="shared" si="3"/>
        <v>450</v>
      </c>
    </row>
    <row r="44" spans="1:15" x14ac:dyDescent="0.35">
      <c r="A44" s="7">
        <v>3112</v>
      </c>
      <c r="B44" s="7" t="s">
        <v>157</v>
      </c>
      <c r="C44" s="7" t="s">
        <v>109</v>
      </c>
      <c r="D44" s="7" t="s">
        <v>155</v>
      </c>
      <c r="E44" s="8" t="str">
        <f>IFERROR(INDEX(Mapping!$B$5:$B$41,MATCH($D44,Mapping!$A$5:$A$41,0)),"UNMAPPED")</f>
        <v>Balance Sheet</v>
      </c>
      <c r="F44" s="8" t="str">
        <f>IFERROR(INDEX(Mapping!$D$5:$D$41,MATCH($D44,Mapping!$A$5:$A$41,0)),"UNMAPPED")</f>
        <v>Current assets</v>
      </c>
      <c r="G44" s="8" t="str">
        <f>IFERROR(INDEX(Mapping!$E$5:$E$41,MATCH($D44,Mapping!$A$5:$A$41,0)),"UNMAPPED")</f>
        <v>Inventories</v>
      </c>
      <c r="H44" s="9">
        <f>IFERROR(INDEX(Mapping!$F$5:$F$41,MATCH($D44,Mapping!$A$5:$A$41,0)),"UNMAPPED")</f>
        <v>20</v>
      </c>
      <c r="I44" s="7" t="s">
        <v>158</v>
      </c>
      <c r="J44" s="11">
        <v>210</v>
      </c>
      <c r="K44" s="10"/>
      <c r="L44" s="11">
        <v>180</v>
      </c>
      <c r="M44" s="10"/>
      <c r="N44" s="12">
        <f t="shared" si="2"/>
        <v>210</v>
      </c>
      <c r="O44" s="12">
        <f t="shared" si="3"/>
        <v>180</v>
      </c>
    </row>
    <row r="45" spans="1:15" x14ac:dyDescent="0.35">
      <c r="A45" s="7">
        <v>3113</v>
      </c>
      <c r="B45" s="7" t="s">
        <v>159</v>
      </c>
      <c r="C45" s="7" t="s">
        <v>109</v>
      </c>
      <c r="D45" s="7" t="s">
        <v>155</v>
      </c>
      <c r="E45" s="8" t="str">
        <f>IFERROR(INDEX(Mapping!$B$5:$B$41,MATCH($D45,Mapping!$A$5:$A$41,0)),"UNMAPPED")</f>
        <v>Balance Sheet</v>
      </c>
      <c r="F45" s="8" t="str">
        <f>IFERROR(INDEX(Mapping!$D$5:$D$41,MATCH($D45,Mapping!$A$5:$A$41,0)),"UNMAPPED")</f>
        <v>Current assets</v>
      </c>
      <c r="G45" s="8" t="str">
        <f>IFERROR(INDEX(Mapping!$E$5:$E$41,MATCH($D45,Mapping!$A$5:$A$41,0)),"UNMAPPED")</f>
        <v>Inventories</v>
      </c>
      <c r="H45" s="9">
        <f>IFERROR(INDEX(Mapping!$F$5:$F$41,MATCH($D45,Mapping!$A$5:$A$41,0)),"UNMAPPED")</f>
        <v>20</v>
      </c>
      <c r="I45" s="7" t="s">
        <v>160</v>
      </c>
      <c r="J45" s="11">
        <v>360</v>
      </c>
      <c r="K45" s="10"/>
      <c r="L45" s="11">
        <v>320</v>
      </c>
      <c r="M45" s="10"/>
      <c r="N45" s="12">
        <f t="shared" si="2"/>
        <v>360</v>
      </c>
      <c r="O45" s="12">
        <f t="shared" si="3"/>
        <v>320</v>
      </c>
    </row>
    <row r="46" spans="1:15" x14ac:dyDescent="0.35">
      <c r="A46" s="7">
        <v>3114</v>
      </c>
      <c r="B46" s="7" t="s">
        <v>161</v>
      </c>
      <c r="C46" s="7" t="s">
        <v>109</v>
      </c>
      <c r="D46" s="7" t="s">
        <v>155</v>
      </c>
      <c r="E46" s="8" t="str">
        <f>IFERROR(INDEX(Mapping!$B$5:$B$41,MATCH($D46,Mapping!$A$5:$A$41,0)),"UNMAPPED")</f>
        <v>Balance Sheet</v>
      </c>
      <c r="F46" s="8" t="str">
        <f>IFERROR(INDEX(Mapping!$D$5:$D$41,MATCH($D46,Mapping!$A$5:$A$41,0)),"UNMAPPED")</f>
        <v>Current assets</v>
      </c>
      <c r="G46" s="8" t="str">
        <f>IFERROR(INDEX(Mapping!$E$5:$E$41,MATCH($D46,Mapping!$A$5:$A$41,0)),"UNMAPPED")</f>
        <v>Inventories</v>
      </c>
      <c r="H46" s="9">
        <f>IFERROR(INDEX(Mapping!$F$5:$F$41,MATCH($D46,Mapping!$A$5:$A$41,0)),"UNMAPPED")</f>
        <v>20</v>
      </c>
      <c r="I46" s="7" t="s">
        <v>162</v>
      </c>
      <c r="J46" s="11">
        <v>65</v>
      </c>
      <c r="K46" s="10"/>
      <c r="L46" s="11">
        <v>60</v>
      </c>
      <c r="M46" s="10"/>
      <c r="N46" s="12">
        <f t="shared" si="2"/>
        <v>65</v>
      </c>
      <c r="O46" s="12">
        <f t="shared" si="3"/>
        <v>60</v>
      </c>
    </row>
    <row r="47" spans="1:15" x14ac:dyDescent="0.35">
      <c r="A47" s="7">
        <v>3121</v>
      </c>
      <c r="B47" s="7" t="s">
        <v>163</v>
      </c>
      <c r="C47" s="7" t="s">
        <v>109</v>
      </c>
      <c r="D47" s="7" t="s">
        <v>164</v>
      </c>
      <c r="E47" s="8" t="str">
        <f>IFERROR(INDEX(Mapping!$B$5:$B$41,MATCH($D47,Mapping!$A$5:$A$41,0)),"UNMAPPED")</f>
        <v>Balance Sheet</v>
      </c>
      <c r="F47" s="8" t="str">
        <f>IFERROR(INDEX(Mapping!$D$5:$D$41,MATCH($D47,Mapping!$A$5:$A$41,0)),"UNMAPPED")</f>
        <v>Current assets</v>
      </c>
      <c r="G47" s="8" t="str">
        <f>IFERROR(INDEX(Mapping!$E$5:$E$41,MATCH($D47,Mapping!$A$5:$A$41,0)),"UNMAPPED")</f>
        <v>Trade receivables</v>
      </c>
      <c r="H47" s="9">
        <f>IFERROR(INDEX(Mapping!$F$5:$F$41,MATCH($D47,Mapping!$A$5:$A$41,0)),"UNMAPPED")</f>
        <v>21</v>
      </c>
      <c r="I47" s="7" t="s">
        <v>165</v>
      </c>
      <c r="J47" s="11">
        <v>1480</v>
      </c>
      <c r="K47" s="10"/>
      <c r="L47" s="11">
        <v>1300</v>
      </c>
      <c r="M47" s="10"/>
      <c r="N47" s="12">
        <f t="shared" si="2"/>
        <v>1480</v>
      </c>
      <c r="O47" s="12">
        <f t="shared" si="3"/>
        <v>1300</v>
      </c>
    </row>
    <row r="48" spans="1:15" x14ac:dyDescent="0.35">
      <c r="A48" s="7">
        <v>3122</v>
      </c>
      <c r="B48" s="7" t="s">
        <v>166</v>
      </c>
      <c r="C48" s="7" t="s">
        <v>109</v>
      </c>
      <c r="D48" s="7" t="s">
        <v>164</v>
      </c>
      <c r="E48" s="8" t="str">
        <f>IFERROR(INDEX(Mapping!$B$5:$B$41,MATCH($D48,Mapping!$A$5:$A$41,0)),"UNMAPPED")</f>
        <v>Balance Sheet</v>
      </c>
      <c r="F48" s="8" t="str">
        <f>IFERROR(INDEX(Mapping!$D$5:$D$41,MATCH($D48,Mapping!$A$5:$A$41,0)),"UNMAPPED")</f>
        <v>Current assets</v>
      </c>
      <c r="G48" s="8" t="str">
        <f>IFERROR(INDEX(Mapping!$E$5:$E$41,MATCH($D48,Mapping!$A$5:$A$41,0)),"UNMAPPED")</f>
        <v>Trade receivables</v>
      </c>
      <c r="H48" s="9">
        <f>IFERROR(INDEX(Mapping!$F$5:$F$41,MATCH($D48,Mapping!$A$5:$A$41,0)),"UNMAPPED")</f>
        <v>21</v>
      </c>
      <c r="I48" s="7" t="s">
        <v>167</v>
      </c>
      <c r="J48" s="10"/>
      <c r="K48" s="11">
        <v>55</v>
      </c>
      <c r="L48" s="10"/>
      <c r="M48" s="11">
        <v>40</v>
      </c>
      <c r="N48" s="12">
        <f t="shared" si="2"/>
        <v>-55</v>
      </c>
      <c r="O48" s="12">
        <f t="shared" si="3"/>
        <v>-40</v>
      </c>
    </row>
    <row r="49" spans="1:15" x14ac:dyDescent="0.35">
      <c r="A49" s="7">
        <v>3131</v>
      </c>
      <c r="B49" s="7" t="s">
        <v>168</v>
      </c>
      <c r="C49" s="7" t="s">
        <v>109</v>
      </c>
      <c r="D49" s="7" t="s">
        <v>169</v>
      </c>
      <c r="E49" s="8" t="str">
        <f>IFERROR(INDEX(Mapping!$B$5:$B$41,MATCH($D49,Mapping!$A$5:$A$41,0)),"UNMAPPED")</f>
        <v>Balance Sheet</v>
      </c>
      <c r="F49" s="8" t="str">
        <f>IFERROR(INDEX(Mapping!$D$5:$D$41,MATCH($D49,Mapping!$A$5:$A$41,0)),"UNMAPPED")</f>
        <v>Current assets</v>
      </c>
      <c r="G49" s="8" t="str">
        <f>IFERROR(INDEX(Mapping!$E$5:$E$41,MATCH($D49,Mapping!$A$5:$A$41,0)),"UNMAPPED")</f>
        <v>Cash and cash equivalents</v>
      </c>
      <c r="H49" s="9">
        <f>IFERROR(INDEX(Mapping!$F$5:$F$41,MATCH($D49,Mapping!$A$5:$A$41,0)),"UNMAPPED")</f>
        <v>22</v>
      </c>
      <c r="I49" s="7" t="s">
        <v>170</v>
      </c>
      <c r="J49" s="11">
        <v>6</v>
      </c>
      <c r="K49" s="10"/>
      <c r="L49" s="11">
        <v>5</v>
      </c>
      <c r="M49" s="10"/>
      <c r="N49" s="12">
        <f t="shared" si="2"/>
        <v>6</v>
      </c>
      <c r="O49" s="12">
        <f t="shared" si="3"/>
        <v>5</v>
      </c>
    </row>
    <row r="50" spans="1:15" x14ac:dyDescent="0.35">
      <c r="A50" s="7">
        <v>3132</v>
      </c>
      <c r="B50" s="7" t="s">
        <v>171</v>
      </c>
      <c r="C50" s="7" t="s">
        <v>109</v>
      </c>
      <c r="D50" s="7" t="s">
        <v>169</v>
      </c>
      <c r="E50" s="8" t="str">
        <f>IFERROR(INDEX(Mapping!$B$5:$B$41,MATCH($D50,Mapping!$A$5:$A$41,0)),"UNMAPPED")</f>
        <v>Balance Sheet</v>
      </c>
      <c r="F50" s="8" t="str">
        <f>IFERROR(INDEX(Mapping!$D$5:$D$41,MATCH($D50,Mapping!$A$5:$A$41,0)),"UNMAPPED")</f>
        <v>Current assets</v>
      </c>
      <c r="G50" s="8" t="str">
        <f>IFERROR(INDEX(Mapping!$E$5:$E$41,MATCH($D50,Mapping!$A$5:$A$41,0)),"UNMAPPED")</f>
        <v>Cash and cash equivalents</v>
      </c>
      <c r="H50" s="9">
        <f>IFERROR(INDEX(Mapping!$F$5:$F$41,MATCH($D50,Mapping!$A$5:$A$41,0)),"UNMAPPED")</f>
        <v>22</v>
      </c>
      <c r="I50" s="7" t="s">
        <v>172</v>
      </c>
      <c r="J50" s="11">
        <v>288</v>
      </c>
      <c r="K50" s="10"/>
      <c r="L50" s="11">
        <v>210</v>
      </c>
      <c r="M50" s="10"/>
      <c r="N50" s="12">
        <f t="shared" si="2"/>
        <v>288</v>
      </c>
      <c r="O50" s="12">
        <f t="shared" si="3"/>
        <v>210</v>
      </c>
    </row>
    <row r="51" spans="1:15" x14ac:dyDescent="0.35">
      <c r="A51" s="7">
        <v>3141</v>
      </c>
      <c r="B51" s="7" t="s">
        <v>173</v>
      </c>
      <c r="C51" s="7" t="s">
        <v>109</v>
      </c>
      <c r="D51" s="7" t="s">
        <v>174</v>
      </c>
      <c r="E51" s="8" t="str">
        <f>IFERROR(INDEX(Mapping!$B$5:$B$41,MATCH($D51,Mapping!$A$5:$A$41,0)),"UNMAPPED")</f>
        <v>Balance Sheet</v>
      </c>
      <c r="F51" s="8" t="str">
        <f>IFERROR(INDEX(Mapping!$D$5:$D$41,MATCH($D51,Mapping!$A$5:$A$41,0)),"UNMAPPED")</f>
        <v>Current assets</v>
      </c>
      <c r="G51" s="8" t="str">
        <f>IFERROR(INDEX(Mapping!$E$5:$E$41,MATCH($D51,Mapping!$A$5:$A$41,0)),"UNMAPPED")</f>
        <v>Other bank balances</v>
      </c>
      <c r="H51" s="9">
        <f>IFERROR(INDEX(Mapping!$F$5:$F$41,MATCH($D51,Mapping!$A$5:$A$41,0)),"UNMAPPED")</f>
        <v>23</v>
      </c>
      <c r="I51" s="7" t="s">
        <v>175</v>
      </c>
      <c r="J51" s="11">
        <v>100</v>
      </c>
      <c r="K51" s="10"/>
      <c r="L51" s="11">
        <v>80</v>
      </c>
      <c r="M51" s="10"/>
      <c r="N51" s="12">
        <f t="shared" si="2"/>
        <v>100</v>
      </c>
      <c r="O51" s="12">
        <f t="shared" si="3"/>
        <v>80</v>
      </c>
    </row>
    <row r="52" spans="1:15" x14ac:dyDescent="0.35">
      <c r="A52" s="7">
        <v>3151</v>
      </c>
      <c r="B52" s="7" t="s">
        <v>176</v>
      </c>
      <c r="C52" s="7" t="s">
        <v>109</v>
      </c>
      <c r="D52" s="7" t="s">
        <v>177</v>
      </c>
      <c r="E52" s="8" t="str">
        <f>IFERROR(INDEX(Mapping!$B$5:$B$41,MATCH($D52,Mapping!$A$5:$A$41,0)),"UNMAPPED")</f>
        <v>Balance Sheet</v>
      </c>
      <c r="F52" s="8" t="str">
        <f>IFERROR(INDEX(Mapping!$D$5:$D$41,MATCH($D52,Mapping!$A$5:$A$41,0)),"UNMAPPED")</f>
        <v>Current assets</v>
      </c>
      <c r="G52" s="8" t="str">
        <f>IFERROR(INDEX(Mapping!$E$5:$E$41,MATCH($D52,Mapping!$A$5:$A$41,0)),"UNMAPPED")</f>
        <v>Short-term loans and advances</v>
      </c>
      <c r="H52" s="9">
        <f>IFERROR(INDEX(Mapping!$F$5:$F$41,MATCH($D52,Mapping!$A$5:$A$41,0)),"UNMAPPED")</f>
        <v>24</v>
      </c>
      <c r="I52" s="7" t="s">
        <v>178</v>
      </c>
      <c r="J52" s="11">
        <v>85</v>
      </c>
      <c r="K52" s="10"/>
      <c r="L52" s="11">
        <v>70</v>
      </c>
      <c r="M52" s="10"/>
      <c r="N52" s="12">
        <f t="shared" si="2"/>
        <v>85</v>
      </c>
      <c r="O52" s="12">
        <f t="shared" si="3"/>
        <v>70</v>
      </c>
    </row>
    <row r="53" spans="1:15" x14ac:dyDescent="0.35">
      <c r="A53" s="7">
        <v>3152</v>
      </c>
      <c r="B53" s="7" t="s">
        <v>179</v>
      </c>
      <c r="C53" s="7" t="s">
        <v>109</v>
      </c>
      <c r="D53" s="7" t="s">
        <v>177</v>
      </c>
      <c r="E53" s="8" t="str">
        <f>IFERROR(INDEX(Mapping!$B$5:$B$41,MATCH($D53,Mapping!$A$5:$A$41,0)),"UNMAPPED")</f>
        <v>Balance Sheet</v>
      </c>
      <c r="F53" s="8" t="str">
        <f>IFERROR(INDEX(Mapping!$D$5:$D$41,MATCH($D53,Mapping!$A$5:$A$41,0)),"UNMAPPED")</f>
        <v>Current assets</v>
      </c>
      <c r="G53" s="8" t="str">
        <f>IFERROR(INDEX(Mapping!$E$5:$E$41,MATCH($D53,Mapping!$A$5:$A$41,0)),"UNMAPPED")</f>
        <v>Short-term loans and advances</v>
      </c>
      <c r="H53" s="9">
        <f>IFERROR(INDEX(Mapping!$F$5:$F$41,MATCH($D53,Mapping!$A$5:$A$41,0)),"UNMAPPED")</f>
        <v>24</v>
      </c>
      <c r="I53" s="7" t="s">
        <v>180</v>
      </c>
      <c r="J53" s="11">
        <v>45</v>
      </c>
      <c r="K53" s="10"/>
      <c r="L53" s="11">
        <v>40</v>
      </c>
      <c r="M53" s="10"/>
      <c r="N53" s="12">
        <f t="shared" si="2"/>
        <v>45</v>
      </c>
      <c r="O53" s="12">
        <f t="shared" si="3"/>
        <v>40</v>
      </c>
    </row>
    <row r="54" spans="1:15" x14ac:dyDescent="0.35">
      <c r="A54" s="7">
        <v>3153</v>
      </c>
      <c r="B54" s="7" t="s">
        <v>181</v>
      </c>
      <c r="C54" s="7" t="s">
        <v>109</v>
      </c>
      <c r="D54" s="7" t="s">
        <v>177</v>
      </c>
      <c r="E54" s="8" t="str">
        <f>IFERROR(INDEX(Mapping!$B$5:$B$41,MATCH($D54,Mapping!$A$5:$A$41,0)),"UNMAPPED")</f>
        <v>Balance Sheet</v>
      </c>
      <c r="F54" s="8" t="str">
        <f>IFERROR(INDEX(Mapping!$D$5:$D$41,MATCH($D54,Mapping!$A$5:$A$41,0)),"UNMAPPED")</f>
        <v>Current assets</v>
      </c>
      <c r="G54" s="8" t="str">
        <f>IFERROR(INDEX(Mapping!$E$5:$E$41,MATCH($D54,Mapping!$A$5:$A$41,0)),"UNMAPPED")</f>
        <v>Short-term loans and advances</v>
      </c>
      <c r="H54" s="9">
        <f>IFERROR(INDEX(Mapping!$F$5:$F$41,MATCH($D54,Mapping!$A$5:$A$41,0)),"UNMAPPED")</f>
        <v>24</v>
      </c>
      <c r="I54" s="7" t="s">
        <v>182</v>
      </c>
      <c r="J54" s="11">
        <v>120</v>
      </c>
      <c r="K54" s="10"/>
      <c r="L54" s="11">
        <v>95</v>
      </c>
      <c r="M54" s="10"/>
      <c r="N54" s="12">
        <f t="shared" si="2"/>
        <v>120</v>
      </c>
      <c r="O54" s="12">
        <f t="shared" si="3"/>
        <v>95</v>
      </c>
    </row>
    <row r="55" spans="1:15" x14ac:dyDescent="0.35">
      <c r="A55" s="7">
        <v>3154</v>
      </c>
      <c r="B55" s="7" t="s">
        <v>183</v>
      </c>
      <c r="C55" s="7" t="s">
        <v>109</v>
      </c>
      <c r="D55" s="7" t="s">
        <v>177</v>
      </c>
      <c r="E55" s="8" t="str">
        <f>IFERROR(INDEX(Mapping!$B$5:$B$41,MATCH($D55,Mapping!$A$5:$A$41,0)),"UNMAPPED")</f>
        <v>Balance Sheet</v>
      </c>
      <c r="F55" s="8" t="str">
        <f>IFERROR(INDEX(Mapping!$D$5:$D$41,MATCH($D55,Mapping!$A$5:$A$41,0)),"UNMAPPED")</f>
        <v>Current assets</v>
      </c>
      <c r="G55" s="8" t="str">
        <f>IFERROR(INDEX(Mapping!$E$5:$E$41,MATCH($D55,Mapping!$A$5:$A$41,0)),"UNMAPPED")</f>
        <v>Short-term loans and advances</v>
      </c>
      <c r="H55" s="9">
        <f>IFERROR(INDEX(Mapping!$F$5:$F$41,MATCH($D55,Mapping!$A$5:$A$41,0)),"UNMAPPED")</f>
        <v>24</v>
      </c>
      <c r="I55" s="7" t="s">
        <v>184</v>
      </c>
      <c r="J55" s="11">
        <v>180</v>
      </c>
      <c r="K55" s="10"/>
      <c r="L55" s="11">
        <v>150</v>
      </c>
      <c r="M55" s="10"/>
      <c r="N55" s="12">
        <f t="shared" si="2"/>
        <v>180</v>
      </c>
      <c r="O55" s="12">
        <f t="shared" si="3"/>
        <v>150</v>
      </c>
    </row>
    <row r="56" spans="1:15" x14ac:dyDescent="0.35">
      <c r="A56" s="7">
        <v>3155</v>
      </c>
      <c r="B56" s="7" t="s">
        <v>185</v>
      </c>
      <c r="C56" s="7" t="s">
        <v>109</v>
      </c>
      <c r="D56" s="7" t="s">
        <v>177</v>
      </c>
      <c r="E56" s="8" t="str">
        <f>IFERROR(INDEX(Mapping!$B$5:$B$41,MATCH($D56,Mapping!$A$5:$A$41,0)),"UNMAPPED")</f>
        <v>Balance Sheet</v>
      </c>
      <c r="F56" s="8" t="str">
        <f>IFERROR(INDEX(Mapping!$D$5:$D$41,MATCH($D56,Mapping!$A$5:$A$41,0)),"UNMAPPED")</f>
        <v>Current assets</v>
      </c>
      <c r="G56" s="8" t="str">
        <f>IFERROR(INDEX(Mapping!$E$5:$E$41,MATCH($D56,Mapping!$A$5:$A$41,0)),"UNMAPPED")</f>
        <v>Short-term loans and advances</v>
      </c>
      <c r="H56" s="9">
        <f>IFERROR(INDEX(Mapping!$F$5:$F$41,MATCH($D56,Mapping!$A$5:$A$41,0)),"UNMAPPED")</f>
        <v>24</v>
      </c>
      <c r="I56" s="7" t="s">
        <v>186</v>
      </c>
      <c r="J56" s="11">
        <v>18</v>
      </c>
      <c r="K56" s="10"/>
      <c r="L56" s="11">
        <v>15</v>
      </c>
      <c r="M56" s="10"/>
      <c r="N56" s="12">
        <f t="shared" si="2"/>
        <v>18</v>
      </c>
      <c r="O56" s="12">
        <f t="shared" si="3"/>
        <v>15</v>
      </c>
    </row>
    <row r="57" spans="1:15" x14ac:dyDescent="0.35">
      <c r="A57" s="7">
        <v>3161</v>
      </c>
      <c r="B57" s="7" t="s">
        <v>187</v>
      </c>
      <c r="C57" s="7" t="s">
        <v>109</v>
      </c>
      <c r="D57" s="7" t="s">
        <v>188</v>
      </c>
      <c r="E57" s="8" t="str">
        <f>IFERROR(INDEX(Mapping!$B$5:$B$41,MATCH($D57,Mapping!$A$5:$A$41,0)),"UNMAPPED")</f>
        <v>Balance Sheet</v>
      </c>
      <c r="F57" s="8" t="str">
        <f>IFERROR(INDEX(Mapping!$D$5:$D$41,MATCH($D57,Mapping!$A$5:$A$41,0)),"UNMAPPED")</f>
        <v>Current assets</v>
      </c>
      <c r="G57" s="8" t="str">
        <f>IFERROR(INDEX(Mapping!$E$5:$E$41,MATCH($D57,Mapping!$A$5:$A$41,0)),"UNMAPPED")</f>
        <v>Other current assets</v>
      </c>
      <c r="H57" s="9">
        <f>IFERROR(INDEX(Mapping!$F$5:$F$41,MATCH($D57,Mapping!$A$5:$A$41,0)),"UNMAPPED")</f>
        <v>25</v>
      </c>
      <c r="I57" s="7" t="s">
        <v>189</v>
      </c>
      <c r="J57" s="11">
        <v>10</v>
      </c>
      <c r="K57" s="10"/>
      <c r="L57" s="11">
        <v>8</v>
      </c>
      <c r="M57" s="10"/>
      <c r="N57" s="12">
        <f t="shared" si="2"/>
        <v>10</v>
      </c>
      <c r="O57" s="12">
        <f t="shared" si="3"/>
        <v>8</v>
      </c>
    </row>
    <row r="58" spans="1:15" x14ac:dyDescent="0.35">
      <c r="A58" s="7">
        <v>3162</v>
      </c>
      <c r="B58" s="7" t="s">
        <v>190</v>
      </c>
      <c r="C58" s="7" t="s">
        <v>109</v>
      </c>
      <c r="D58" s="7" t="s">
        <v>188</v>
      </c>
      <c r="E58" s="8" t="str">
        <f>IFERROR(INDEX(Mapping!$B$5:$B$41,MATCH($D58,Mapping!$A$5:$A$41,0)),"UNMAPPED")</f>
        <v>Balance Sheet</v>
      </c>
      <c r="F58" s="8" t="str">
        <f>IFERROR(INDEX(Mapping!$D$5:$D$41,MATCH($D58,Mapping!$A$5:$A$41,0)),"UNMAPPED")</f>
        <v>Current assets</v>
      </c>
      <c r="G58" s="8" t="str">
        <f>IFERROR(INDEX(Mapping!$E$5:$E$41,MATCH($D58,Mapping!$A$5:$A$41,0)),"UNMAPPED")</f>
        <v>Other current assets</v>
      </c>
      <c r="H58" s="9">
        <f>IFERROR(INDEX(Mapping!$F$5:$F$41,MATCH($D58,Mapping!$A$5:$A$41,0)),"UNMAPPED")</f>
        <v>25</v>
      </c>
      <c r="I58" s="7" t="s">
        <v>191</v>
      </c>
      <c r="J58" s="11">
        <v>30</v>
      </c>
      <c r="K58" s="10"/>
      <c r="L58" s="11">
        <v>25</v>
      </c>
      <c r="M58" s="10"/>
      <c r="N58" s="12">
        <f t="shared" si="2"/>
        <v>30</v>
      </c>
      <c r="O58" s="12">
        <f t="shared" si="3"/>
        <v>25</v>
      </c>
    </row>
    <row r="59" spans="1:15" x14ac:dyDescent="0.35">
      <c r="A59" s="7">
        <v>4001</v>
      </c>
      <c r="B59" s="7" t="s">
        <v>192</v>
      </c>
      <c r="C59" s="7" t="s">
        <v>193</v>
      </c>
      <c r="D59" s="7" t="s">
        <v>194</v>
      </c>
      <c r="E59" s="8" t="str">
        <f>IFERROR(INDEX(Mapping!$B$5:$B$41,MATCH($D59,Mapping!$A$5:$A$41,0)),"UNMAPPED")</f>
        <v>Statement of P&amp;L</v>
      </c>
      <c r="F59" s="8" t="str">
        <f>IFERROR(INDEX(Mapping!$D$5:$D$41,MATCH($D59,Mapping!$A$5:$A$41,0)),"UNMAPPED")</f>
        <v>Revenue</v>
      </c>
      <c r="G59" s="8" t="str">
        <f>IFERROR(INDEX(Mapping!$E$5:$E$41,MATCH($D59,Mapping!$A$5:$A$41,0)),"UNMAPPED")</f>
        <v>Revenue from operations</v>
      </c>
      <c r="H59" s="9">
        <f>IFERROR(INDEX(Mapping!$F$5:$F$41,MATCH($D59,Mapping!$A$5:$A$41,0)),"UNMAPPED")</f>
        <v>26</v>
      </c>
      <c r="I59" s="7" t="s">
        <v>195</v>
      </c>
      <c r="J59" s="10"/>
      <c r="K59" s="11">
        <v>7500</v>
      </c>
      <c r="L59" s="10"/>
      <c r="M59" s="11">
        <v>6800</v>
      </c>
      <c r="N59" s="12">
        <f t="shared" si="2"/>
        <v>-7500</v>
      </c>
      <c r="O59" s="12">
        <f t="shared" si="3"/>
        <v>-6800</v>
      </c>
    </row>
    <row r="60" spans="1:15" x14ac:dyDescent="0.35">
      <c r="A60" s="7">
        <v>4002</v>
      </c>
      <c r="B60" s="7" t="s">
        <v>196</v>
      </c>
      <c r="C60" s="7" t="s">
        <v>193</v>
      </c>
      <c r="D60" s="7" t="s">
        <v>194</v>
      </c>
      <c r="E60" s="8" t="str">
        <f>IFERROR(INDEX(Mapping!$B$5:$B$41,MATCH($D60,Mapping!$A$5:$A$41,0)),"UNMAPPED")</f>
        <v>Statement of P&amp;L</v>
      </c>
      <c r="F60" s="8" t="str">
        <f>IFERROR(INDEX(Mapping!$D$5:$D$41,MATCH($D60,Mapping!$A$5:$A$41,0)),"UNMAPPED")</f>
        <v>Revenue</v>
      </c>
      <c r="G60" s="8" t="str">
        <f>IFERROR(INDEX(Mapping!$E$5:$E$41,MATCH($D60,Mapping!$A$5:$A$41,0)),"UNMAPPED")</f>
        <v>Revenue from operations</v>
      </c>
      <c r="H60" s="9">
        <f>IFERROR(INDEX(Mapping!$F$5:$F$41,MATCH($D60,Mapping!$A$5:$A$41,0)),"UNMAPPED")</f>
        <v>26</v>
      </c>
      <c r="I60" s="7" t="s">
        <v>195</v>
      </c>
      <c r="J60" s="10"/>
      <c r="K60" s="11">
        <v>1800</v>
      </c>
      <c r="L60" s="10"/>
      <c r="M60" s="11">
        <v>1500</v>
      </c>
      <c r="N60" s="12">
        <f t="shared" si="2"/>
        <v>-1800</v>
      </c>
      <c r="O60" s="12">
        <f t="shared" si="3"/>
        <v>-1500</v>
      </c>
    </row>
    <row r="61" spans="1:15" x14ac:dyDescent="0.35">
      <c r="A61" s="7">
        <v>4003</v>
      </c>
      <c r="B61" s="7" t="s">
        <v>197</v>
      </c>
      <c r="C61" s="7" t="s">
        <v>193</v>
      </c>
      <c r="D61" s="7" t="s">
        <v>194</v>
      </c>
      <c r="E61" s="8" t="str">
        <f>IFERROR(INDEX(Mapping!$B$5:$B$41,MATCH($D61,Mapping!$A$5:$A$41,0)),"UNMAPPED")</f>
        <v>Statement of P&amp;L</v>
      </c>
      <c r="F61" s="8" t="str">
        <f>IFERROR(INDEX(Mapping!$D$5:$D$41,MATCH($D61,Mapping!$A$5:$A$41,0)),"UNMAPPED")</f>
        <v>Revenue</v>
      </c>
      <c r="G61" s="8" t="str">
        <f>IFERROR(INDEX(Mapping!$E$5:$E$41,MATCH($D61,Mapping!$A$5:$A$41,0)),"UNMAPPED")</f>
        <v>Revenue from operations</v>
      </c>
      <c r="H61" s="9">
        <f>IFERROR(INDEX(Mapping!$F$5:$F$41,MATCH($D61,Mapping!$A$5:$A$41,0)),"UNMAPPED")</f>
        <v>26</v>
      </c>
      <c r="I61" s="7" t="s">
        <v>198</v>
      </c>
      <c r="J61" s="10"/>
      <c r="K61" s="11">
        <v>75</v>
      </c>
      <c r="L61" s="10"/>
      <c r="M61" s="11">
        <v>60</v>
      </c>
      <c r="N61" s="12">
        <f t="shared" si="2"/>
        <v>-75</v>
      </c>
      <c r="O61" s="12">
        <f t="shared" si="3"/>
        <v>-60</v>
      </c>
    </row>
    <row r="62" spans="1:15" x14ac:dyDescent="0.35">
      <c r="A62" s="7">
        <v>4101</v>
      </c>
      <c r="B62" s="7" t="s">
        <v>199</v>
      </c>
      <c r="C62" s="7" t="s">
        <v>193</v>
      </c>
      <c r="D62" s="7" t="s">
        <v>200</v>
      </c>
      <c r="E62" s="8" t="str">
        <f>IFERROR(INDEX(Mapping!$B$5:$B$41,MATCH($D62,Mapping!$A$5:$A$41,0)),"UNMAPPED")</f>
        <v>Statement of P&amp;L</v>
      </c>
      <c r="F62" s="8" t="str">
        <f>IFERROR(INDEX(Mapping!$D$5:$D$41,MATCH($D62,Mapping!$A$5:$A$41,0)),"UNMAPPED")</f>
        <v>Revenue</v>
      </c>
      <c r="G62" s="8" t="str">
        <f>IFERROR(INDEX(Mapping!$E$5:$E$41,MATCH($D62,Mapping!$A$5:$A$41,0)),"UNMAPPED")</f>
        <v>Other income</v>
      </c>
      <c r="H62" s="9">
        <f>IFERROR(INDEX(Mapping!$F$5:$F$41,MATCH($D62,Mapping!$A$5:$A$41,0)),"UNMAPPED")</f>
        <v>27</v>
      </c>
      <c r="I62" s="7" t="s">
        <v>201</v>
      </c>
      <c r="J62" s="10"/>
      <c r="K62" s="11">
        <v>18</v>
      </c>
      <c r="L62" s="10"/>
      <c r="M62" s="11">
        <v>14</v>
      </c>
      <c r="N62" s="12">
        <f t="shared" si="2"/>
        <v>-18</v>
      </c>
      <c r="O62" s="12">
        <f t="shared" si="3"/>
        <v>-14</v>
      </c>
    </row>
    <row r="63" spans="1:15" x14ac:dyDescent="0.35">
      <c r="A63" s="7">
        <v>4102</v>
      </c>
      <c r="B63" s="7" t="s">
        <v>202</v>
      </c>
      <c r="C63" s="7" t="s">
        <v>193</v>
      </c>
      <c r="D63" s="7" t="s">
        <v>200</v>
      </c>
      <c r="E63" s="8" t="str">
        <f>IFERROR(INDEX(Mapping!$B$5:$B$41,MATCH($D63,Mapping!$A$5:$A$41,0)),"UNMAPPED")</f>
        <v>Statement of P&amp;L</v>
      </c>
      <c r="F63" s="8" t="str">
        <f>IFERROR(INDEX(Mapping!$D$5:$D$41,MATCH($D63,Mapping!$A$5:$A$41,0)),"UNMAPPED")</f>
        <v>Revenue</v>
      </c>
      <c r="G63" s="8" t="str">
        <f>IFERROR(INDEX(Mapping!$E$5:$E$41,MATCH($D63,Mapping!$A$5:$A$41,0)),"UNMAPPED")</f>
        <v>Other income</v>
      </c>
      <c r="H63" s="9">
        <f>IFERROR(INDEX(Mapping!$F$5:$F$41,MATCH($D63,Mapping!$A$5:$A$41,0)),"UNMAPPED")</f>
        <v>27</v>
      </c>
      <c r="I63" s="7" t="s">
        <v>203</v>
      </c>
      <c r="J63" s="10"/>
      <c r="K63" s="11">
        <v>6</v>
      </c>
      <c r="L63" s="10"/>
      <c r="M63" s="11">
        <v>5</v>
      </c>
      <c r="N63" s="12">
        <f t="shared" si="2"/>
        <v>-6</v>
      </c>
      <c r="O63" s="12">
        <f t="shared" si="3"/>
        <v>-5</v>
      </c>
    </row>
    <row r="64" spans="1:15" x14ac:dyDescent="0.35">
      <c r="A64" s="7">
        <v>4103</v>
      </c>
      <c r="B64" s="7" t="s">
        <v>204</v>
      </c>
      <c r="C64" s="7" t="s">
        <v>193</v>
      </c>
      <c r="D64" s="7" t="s">
        <v>200</v>
      </c>
      <c r="E64" s="8" t="str">
        <f>IFERROR(INDEX(Mapping!$B$5:$B$41,MATCH($D64,Mapping!$A$5:$A$41,0)),"UNMAPPED")</f>
        <v>Statement of P&amp;L</v>
      </c>
      <c r="F64" s="8" t="str">
        <f>IFERROR(INDEX(Mapping!$D$5:$D$41,MATCH($D64,Mapping!$A$5:$A$41,0)),"UNMAPPED")</f>
        <v>Revenue</v>
      </c>
      <c r="G64" s="8" t="str">
        <f>IFERROR(INDEX(Mapping!$E$5:$E$41,MATCH($D64,Mapping!$A$5:$A$41,0)),"UNMAPPED")</f>
        <v>Other income</v>
      </c>
      <c r="H64" s="9">
        <f>IFERROR(INDEX(Mapping!$F$5:$F$41,MATCH($D64,Mapping!$A$5:$A$41,0)),"UNMAPPED")</f>
        <v>27</v>
      </c>
      <c r="I64" s="7" t="s">
        <v>205</v>
      </c>
      <c r="J64" s="10"/>
      <c r="K64" s="11">
        <v>10</v>
      </c>
      <c r="L64" s="10"/>
      <c r="M64" s="11">
        <v>8</v>
      </c>
      <c r="N64" s="12">
        <f t="shared" si="2"/>
        <v>-10</v>
      </c>
      <c r="O64" s="12">
        <f t="shared" si="3"/>
        <v>-8</v>
      </c>
    </row>
    <row r="65" spans="1:15" x14ac:dyDescent="0.35">
      <c r="A65" s="7">
        <v>5001</v>
      </c>
      <c r="B65" s="7" t="s">
        <v>206</v>
      </c>
      <c r="C65" s="7" t="s">
        <v>207</v>
      </c>
      <c r="D65" s="7" t="s">
        <v>208</v>
      </c>
      <c r="E65" s="8" t="str">
        <f>IFERROR(INDEX(Mapping!$B$5:$B$41,MATCH($D65,Mapping!$A$5:$A$41,0)),"UNMAPPED")</f>
        <v>Statement of P&amp;L</v>
      </c>
      <c r="F65" s="8" t="str">
        <f>IFERROR(INDEX(Mapping!$D$5:$D$41,MATCH($D65,Mapping!$A$5:$A$41,0)),"UNMAPPED")</f>
        <v>Expenses</v>
      </c>
      <c r="G65" s="8" t="str">
        <f>IFERROR(INDEX(Mapping!$E$5:$E$41,MATCH($D65,Mapping!$A$5:$A$41,0)),"UNMAPPED")</f>
        <v>Cost of materials consumed</v>
      </c>
      <c r="H65" s="9">
        <f>IFERROR(INDEX(Mapping!$F$5:$F$41,MATCH($D65,Mapping!$A$5:$A$41,0)),"UNMAPPED")</f>
        <v>28</v>
      </c>
      <c r="I65" s="7" t="s">
        <v>209</v>
      </c>
      <c r="J65" s="11">
        <v>5500</v>
      </c>
      <c r="K65" s="10"/>
      <c r="L65" s="11">
        <v>5000</v>
      </c>
      <c r="M65" s="10"/>
      <c r="N65" s="12">
        <f t="shared" si="2"/>
        <v>5500</v>
      </c>
      <c r="O65" s="12">
        <f t="shared" si="3"/>
        <v>5000</v>
      </c>
    </row>
    <row r="66" spans="1:15" x14ac:dyDescent="0.35">
      <c r="A66" s="7">
        <v>5002</v>
      </c>
      <c r="B66" s="7" t="s">
        <v>210</v>
      </c>
      <c r="C66" s="7" t="s">
        <v>207</v>
      </c>
      <c r="D66" s="7" t="s">
        <v>211</v>
      </c>
      <c r="E66" s="8" t="str">
        <f>IFERROR(INDEX(Mapping!$B$5:$B$41,MATCH($D66,Mapping!$A$5:$A$41,0)),"UNMAPPED")</f>
        <v>Statement of P&amp;L</v>
      </c>
      <c r="F66" s="8" t="str">
        <f>IFERROR(INDEX(Mapping!$D$5:$D$41,MATCH($D66,Mapping!$A$5:$A$41,0)),"UNMAPPED")</f>
        <v>Expenses</v>
      </c>
      <c r="G66" s="8" t="str">
        <f>IFERROR(INDEX(Mapping!$E$5:$E$41,MATCH($D66,Mapping!$A$5:$A$41,0)),"UNMAPPED")</f>
        <v>Changes in inventories of finished goods, WIP and stock-in-trade</v>
      </c>
      <c r="H66" s="9">
        <f>IFERROR(INDEX(Mapping!$F$5:$F$41,MATCH($D66,Mapping!$A$5:$A$41,0)),"UNMAPPED")</f>
        <v>30</v>
      </c>
      <c r="I66" s="7" t="s">
        <v>212</v>
      </c>
      <c r="J66" s="10"/>
      <c r="K66" s="11">
        <v>70</v>
      </c>
      <c r="L66" s="10"/>
      <c r="M66" s="11">
        <v>40</v>
      </c>
      <c r="N66" s="12">
        <f t="shared" si="2"/>
        <v>-70</v>
      </c>
      <c r="O66" s="12">
        <f t="shared" si="3"/>
        <v>-40</v>
      </c>
    </row>
    <row r="67" spans="1:15" x14ac:dyDescent="0.35">
      <c r="A67" s="7">
        <v>5101</v>
      </c>
      <c r="B67" s="7" t="s">
        <v>213</v>
      </c>
      <c r="C67" s="7" t="s">
        <v>207</v>
      </c>
      <c r="D67" s="7" t="s">
        <v>214</v>
      </c>
      <c r="E67" s="8" t="str">
        <f>IFERROR(INDEX(Mapping!$B$5:$B$41,MATCH($D67,Mapping!$A$5:$A$41,0)),"UNMAPPED")</f>
        <v>Statement of P&amp;L</v>
      </c>
      <c r="F67" s="8" t="str">
        <f>IFERROR(INDEX(Mapping!$D$5:$D$41,MATCH($D67,Mapping!$A$5:$A$41,0)),"UNMAPPED")</f>
        <v>Expenses</v>
      </c>
      <c r="G67" s="8" t="str">
        <f>IFERROR(INDEX(Mapping!$E$5:$E$41,MATCH($D67,Mapping!$A$5:$A$41,0)),"UNMAPPED")</f>
        <v>Employee benefits expense</v>
      </c>
      <c r="H67" s="9">
        <f>IFERROR(INDEX(Mapping!$F$5:$F$41,MATCH($D67,Mapping!$A$5:$A$41,0)),"UNMAPPED")</f>
        <v>31</v>
      </c>
      <c r="I67" s="7" t="s">
        <v>215</v>
      </c>
      <c r="J67" s="11">
        <v>1000</v>
      </c>
      <c r="K67" s="10"/>
      <c r="L67" s="11">
        <v>900</v>
      </c>
      <c r="M67" s="10"/>
      <c r="N67" s="12">
        <f t="shared" si="2"/>
        <v>1000</v>
      </c>
      <c r="O67" s="12">
        <f t="shared" si="3"/>
        <v>900</v>
      </c>
    </row>
    <row r="68" spans="1:15" x14ac:dyDescent="0.35">
      <c r="A68" s="7">
        <v>5102</v>
      </c>
      <c r="B68" s="7" t="s">
        <v>216</v>
      </c>
      <c r="C68" s="7" t="s">
        <v>207</v>
      </c>
      <c r="D68" s="7" t="s">
        <v>214</v>
      </c>
      <c r="E68" s="8" t="str">
        <f>IFERROR(INDEX(Mapping!$B$5:$B$41,MATCH($D68,Mapping!$A$5:$A$41,0)),"UNMAPPED")</f>
        <v>Statement of P&amp;L</v>
      </c>
      <c r="F68" s="8" t="str">
        <f>IFERROR(INDEX(Mapping!$D$5:$D$41,MATCH($D68,Mapping!$A$5:$A$41,0)),"UNMAPPED")</f>
        <v>Expenses</v>
      </c>
      <c r="G68" s="8" t="str">
        <f>IFERROR(INDEX(Mapping!$E$5:$E$41,MATCH($D68,Mapping!$A$5:$A$41,0)),"UNMAPPED")</f>
        <v>Employee benefits expense</v>
      </c>
      <c r="H68" s="9">
        <f>IFERROR(INDEX(Mapping!$F$5:$F$41,MATCH($D68,Mapping!$A$5:$A$41,0)),"UNMAPPED")</f>
        <v>31</v>
      </c>
      <c r="I68" s="7" t="s">
        <v>217</v>
      </c>
      <c r="J68" s="11">
        <v>90</v>
      </c>
      <c r="K68" s="10"/>
      <c r="L68" s="11">
        <v>80</v>
      </c>
      <c r="M68" s="10"/>
      <c r="N68" s="12">
        <f t="shared" si="2"/>
        <v>90</v>
      </c>
      <c r="O68" s="12">
        <f t="shared" si="3"/>
        <v>80</v>
      </c>
    </row>
    <row r="69" spans="1:15" x14ac:dyDescent="0.35">
      <c r="A69" s="7">
        <v>5103</v>
      </c>
      <c r="B69" s="7" t="s">
        <v>218</v>
      </c>
      <c r="C69" s="7" t="s">
        <v>207</v>
      </c>
      <c r="D69" s="7" t="s">
        <v>214</v>
      </c>
      <c r="E69" s="8" t="str">
        <f>IFERROR(INDEX(Mapping!$B$5:$B$41,MATCH($D69,Mapping!$A$5:$A$41,0)),"UNMAPPED")</f>
        <v>Statement of P&amp;L</v>
      </c>
      <c r="F69" s="8" t="str">
        <f>IFERROR(INDEX(Mapping!$D$5:$D$41,MATCH($D69,Mapping!$A$5:$A$41,0)),"UNMAPPED")</f>
        <v>Expenses</v>
      </c>
      <c r="G69" s="8" t="str">
        <f>IFERROR(INDEX(Mapping!$E$5:$E$41,MATCH($D69,Mapping!$A$5:$A$41,0)),"UNMAPPED")</f>
        <v>Employee benefits expense</v>
      </c>
      <c r="H69" s="9">
        <f>IFERROR(INDEX(Mapping!$F$5:$F$41,MATCH($D69,Mapping!$A$5:$A$41,0)),"UNMAPPED")</f>
        <v>31</v>
      </c>
      <c r="I69" s="7" t="s">
        <v>219</v>
      </c>
      <c r="J69" s="11">
        <v>45</v>
      </c>
      <c r="K69" s="10"/>
      <c r="L69" s="11">
        <v>40</v>
      </c>
      <c r="M69" s="10"/>
      <c r="N69" s="12">
        <f t="shared" ref="N69:N94" si="4">J69-K69</f>
        <v>45</v>
      </c>
      <c r="O69" s="12">
        <f t="shared" ref="O69:O94" si="5">L69-M69</f>
        <v>40</v>
      </c>
    </row>
    <row r="70" spans="1:15" x14ac:dyDescent="0.35">
      <c r="A70" s="7">
        <v>5104</v>
      </c>
      <c r="B70" s="7" t="s">
        <v>220</v>
      </c>
      <c r="C70" s="7" t="s">
        <v>207</v>
      </c>
      <c r="D70" s="7" t="s">
        <v>214</v>
      </c>
      <c r="E70" s="8" t="str">
        <f>IFERROR(INDEX(Mapping!$B$5:$B$41,MATCH($D70,Mapping!$A$5:$A$41,0)),"UNMAPPED")</f>
        <v>Statement of P&amp;L</v>
      </c>
      <c r="F70" s="8" t="str">
        <f>IFERROR(INDEX(Mapping!$D$5:$D$41,MATCH($D70,Mapping!$A$5:$A$41,0)),"UNMAPPED")</f>
        <v>Expenses</v>
      </c>
      <c r="G70" s="8" t="str">
        <f>IFERROR(INDEX(Mapping!$E$5:$E$41,MATCH($D70,Mapping!$A$5:$A$41,0)),"UNMAPPED")</f>
        <v>Employee benefits expense</v>
      </c>
      <c r="H70" s="9">
        <f>IFERROR(INDEX(Mapping!$F$5:$F$41,MATCH($D70,Mapping!$A$5:$A$41,0)),"UNMAPPED")</f>
        <v>31</v>
      </c>
      <c r="I70" s="7" t="s">
        <v>221</v>
      </c>
      <c r="J70" s="11">
        <v>34</v>
      </c>
      <c r="K70" s="10"/>
      <c r="L70" s="11">
        <v>30</v>
      </c>
      <c r="M70" s="10"/>
      <c r="N70" s="12">
        <f t="shared" si="4"/>
        <v>34</v>
      </c>
      <c r="O70" s="12">
        <f t="shared" si="5"/>
        <v>30</v>
      </c>
    </row>
    <row r="71" spans="1:15" x14ac:dyDescent="0.35">
      <c r="A71" s="7">
        <v>5201</v>
      </c>
      <c r="B71" s="7" t="s">
        <v>222</v>
      </c>
      <c r="C71" s="7" t="s">
        <v>207</v>
      </c>
      <c r="D71" s="7" t="s">
        <v>223</v>
      </c>
      <c r="E71" s="8" t="str">
        <f>IFERROR(INDEX(Mapping!$B$5:$B$41,MATCH($D71,Mapping!$A$5:$A$41,0)),"UNMAPPED")</f>
        <v>Statement of P&amp;L</v>
      </c>
      <c r="F71" s="8" t="str">
        <f>IFERROR(INDEX(Mapping!$D$5:$D$41,MATCH($D71,Mapping!$A$5:$A$41,0)),"UNMAPPED")</f>
        <v>Expenses</v>
      </c>
      <c r="G71" s="8" t="str">
        <f>IFERROR(INDEX(Mapping!$E$5:$E$41,MATCH($D71,Mapping!$A$5:$A$41,0)),"UNMAPPED")</f>
        <v>Finance costs</v>
      </c>
      <c r="H71" s="9">
        <f>IFERROR(INDEX(Mapping!$F$5:$F$41,MATCH($D71,Mapping!$A$5:$A$41,0)),"UNMAPPED")</f>
        <v>32</v>
      </c>
      <c r="I71" s="7" t="s">
        <v>224</v>
      </c>
      <c r="J71" s="11">
        <v>130</v>
      </c>
      <c r="K71" s="10"/>
      <c r="L71" s="11">
        <v>150</v>
      </c>
      <c r="M71" s="10"/>
      <c r="N71" s="12">
        <f t="shared" si="4"/>
        <v>130</v>
      </c>
      <c r="O71" s="12">
        <f t="shared" si="5"/>
        <v>150</v>
      </c>
    </row>
    <row r="72" spans="1:15" x14ac:dyDescent="0.35">
      <c r="A72" s="7">
        <v>5202</v>
      </c>
      <c r="B72" s="7" t="s">
        <v>225</v>
      </c>
      <c r="C72" s="7" t="s">
        <v>207</v>
      </c>
      <c r="D72" s="7" t="s">
        <v>223</v>
      </c>
      <c r="E72" s="8" t="str">
        <f>IFERROR(INDEX(Mapping!$B$5:$B$41,MATCH($D72,Mapping!$A$5:$A$41,0)),"UNMAPPED")</f>
        <v>Statement of P&amp;L</v>
      </c>
      <c r="F72" s="8" t="str">
        <f>IFERROR(INDEX(Mapping!$D$5:$D$41,MATCH($D72,Mapping!$A$5:$A$41,0)),"UNMAPPED")</f>
        <v>Expenses</v>
      </c>
      <c r="G72" s="8" t="str">
        <f>IFERROR(INDEX(Mapping!$E$5:$E$41,MATCH($D72,Mapping!$A$5:$A$41,0)),"UNMAPPED")</f>
        <v>Finance costs</v>
      </c>
      <c r="H72" s="9">
        <f>IFERROR(INDEX(Mapping!$F$5:$F$41,MATCH($D72,Mapping!$A$5:$A$41,0)),"UNMAPPED")</f>
        <v>32</v>
      </c>
      <c r="I72" s="7" t="s">
        <v>226</v>
      </c>
      <c r="J72" s="11">
        <v>55</v>
      </c>
      <c r="K72" s="10"/>
      <c r="L72" s="11">
        <v>60</v>
      </c>
      <c r="M72" s="10"/>
      <c r="N72" s="12">
        <f t="shared" si="4"/>
        <v>55</v>
      </c>
      <c r="O72" s="12">
        <f t="shared" si="5"/>
        <v>60</v>
      </c>
    </row>
    <row r="73" spans="1:15" x14ac:dyDescent="0.35">
      <c r="A73" s="7">
        <v>5203</v>
      </c>
      <c r="B73" s="7" t="s">
        <v>227</v>
      </c>
      <c r="C73" s="7" t="s">
        <v>207</v>
      </c>
      <c r="D73" s="7" t="s">
        <v>223</v>
      </c>
      <c r="E73" s="8" t="str">
        <f>IFERROR(INDEX(Mapping!$B$5:$B$41,MATCH($D73,Mapping!$A$5:$A$41,0)),"UNMAPPED")</f>
        <v>Statement of P&amp;L</v>
      </c>
      <c r="F73" s="8" t="str">
        <f>IFERROR(INDEX(Mapping!$D$5:$D$41,MATCH($D73,Mapping!$A$5:$A$41,0)),"UNMAPPED")</f>
        <v>Expenses</v>
      </c>
      <c r="G73" s="8" t="str">
        <f>IFERROR(INDEX(Mapping!$E$5:$E$41,MATCH($D73,Mapping!$A$5:$A$41,0)),"UNMAPPED")</f>
        <v>Finance costs</v>
      </c>
      <c r="H73" s="9">
        <f>IFERROR(INDEX(Mapping!$F$5:$F$41,MATCH($D73,Mapping!$A$5:$A$41,0)),"UNMAPPED")</f>
        <v>32</v>
      </c>
      <c r="I73" s="7" t="s">
        <v>228</v>
      </c>
      <c r="J73" s="11">
        <v>9</v>
      </c>
      <c r="K73" s="10"/>
      <c r="L73" s="11">
        <v>8</v>
      </c>
      <c r="M73" s="10"/>
      <c r="N73" s="12">
        <f t="shared" si="4"/>
        <v>9</v>
      </c>
      <c r="O73" s="12">
        <f t="shared" si="5"/>
        <v>8</v>
      </c>
    </row>
    <row r="74" spans="1:15" x14ac:dyDescent="0.35">
      <c r="A74" s="7">
        <v>5301</v>
      </c>
      <c r="B74" s="7" t="s">
        <v>229</v>
      </c>
      <c r="C74" s="7" t="s">
        <v>207</v>
      </c>
      <c r="D74" s="7" t="s">
        <v>230</v>
      </c>
      <c r="E74" s="8" t="str">
        <f>IFERROR(INDEX(Mapping!$B$5:$B$41,MATCH($D74,Mapping!$A$5:$A$41,0)),"UNMAPPED")</f>
        <v>Statement of P&amp;L</v>
      </c>
      <c r="F74" s="8" t="str">
        <f>IFERROR(INDEX(Mapping!$D$5:$D$41,MATCH($D74,Mapping!$A$5:$A$41,0)),"UNMAPPED")</f>
        <v>Expenses</v>
      </c>
      <c r="G74" s="8" t="str">
        <f>IFERROR(INDEX(Mapping!$E$5:$E$41,MATCH($D74,Mapping!$A$5:$A$41,0)),"UNMAPPED")</f>
        <v>Depreciation and amortisation expense</v>
      </c>
      <c r="H74" s="9">
        <f>IFERROR(INDEX(Mapping!$F$5:$F$41,MATCH($D74,Mapping!$A$5:$A$41,0)),"UNMAPPED")</f>
        <v>33</v>
      </c>
      <c r="I74" s="7" t="s">
        <v>231</v>
      </c>
      <c r="J74" s="11">
        <v>355</v>
      </c>
      <c r="K74" s="10"/>
      <c r="L74" s="11">
        <v>300</v>
      </c>
      <c r="M74" s="10"/>
      <c r="N74" s="12">
        <f t="shared" si="4"/>
        <v>355</v>
      </c>
      <c r="O74" s="12">
        <f t="shared" si="5"/>
        <v>300</v>
      </c>
    </row>
    <row r="75" spans="1:15" x14ac:dyDescent="0.35">
      <c r="A75" s="7">
        <v>5302</v>
      </c>
      <c r="B75" s="7" t="s">
        <v>232</v>
      </c>
      <c r="C75" s="7" t="s">
        <v>207</v>
      </c>
      <c r="D75" s="7" t="s">
        <v>230</v>
      </c>
      <c r="E75" s="8" t="str">
        <f>IFERROR(INDEX(Mapping!$B$5:$B$41,MATCH($D75,Mapping!$A$5:$A$41,0)),"UNMAPPED")</f>
        <v>Statement of P&amp;L</v>
      </c>
      <c r="F75" s="8" t="str">
        <f>IFERROR(INDEX(Mapping!$D$5:$D$41,MATCH($D75,Mapping!$A$5:$A$41,0)),"UNMAPPED")</f>
        <v>Expenses</v>
      </c>
      <c r="G75" s="8" t="str">
        <f>IFERROR(INDEX(Mapping!$E$5:$E$41,MATCH($D75,Mapping!$A$5:$A$41,0)),"UNMAPPED")</f>
        <v>Depreciation and amortisation expense</v>
      </c>
      <c r="H75" s="9">
        <f>IFERROR(INDEX(Mapping!$F$5:$F$41,MATCH($D75,Mapping!$A$5:$A$41,0)),"UNMAPPED")</f>
        <v>33</v>
      </c>
      <c r="I75" s="7" t="s">
        <v>233</v>
      </c>
      <c r="J75" s="11">
        <v>15</v>
      </c>
      <c r="K75" s="10"/>
      <c r="L75" s="11">
        <v>14</v>
      </c>
      <c r="M75" s="10"/>
      <c r="N75" s="12">
        <f t="shared" si="4"/>
        <v>15</v>
      </c>
      <c r="O75" s="12">
        <f t="shared" si="5"/>
        <v>14</v>
      </c>
    </row>
    <row r="76" spans="1:15" x14ac:dyDescent="0.35">
      <c r="A76" s="7">
        <v>5401</v>
      </c>
      <c r="B76" s="7" t="s">
        <v>234</v>
      </c>
      <c r="C76" s="7" t="s">
        <v>207</v>
      </c>
      <c r="D76" s="7" t="s">
        <v>235</v>
      </c>
      <c r="E76" s="8" t="str">
        <f>IFERROR(INDEX(Mapping!$B$5:$B$41,MATCH($D76,Mapping!$A$5:$A$41,0)),"UNMAPPED")</f>
        <v>Statement of P&amp;L</v>
      </c>
      <c r="F76" s="8" t="str">
        <f>IFERROR(INDEX(Mapping!$D$5:$D$41,MATCH($D76,Mapping!$A$5:$A$41,0)),"UNMAPPED")</f>
        <v>Expenses</v>
      </c>
      <c r="G76" s="8" t="str">
        <f>IFERROR(INDEX(Mapping!$E$5:$E$41,MATCH($D76,Mapping!$A$5:$A$41,0)),"UNMAPPED")</f>
        <v>Other expenses</v>
      </c>
      <c r="H76" s="9">
        <f>IFERROR(INDEX(Mapping!$F$5:$F$41,MATCH($D76,Mapping!$A$5:$A$41,0)),"UNMAPPED")</f>
        <v>34</v>
      </c>
      <c r="I76" s="7" t="s">
        <v>236</v>
      </c>
      <c r="J76" s="11">
        <v>420</v>
      </c>
      <c r="K76" s="10"/>
      <c r="L76" s="11">
        <v>380</v>
      </c>
      <c r="M76" s="10"/>
      <c r="N76" s="12">
        <f t="shared" si="4"/>
        <v>420</v>
      </c>
      <c r="O76" s="12">
        <f t="shared" si="5"/>
        <v>380</v>
      </c>
    </row>
    <row r="77" spans="1:15" x14ac:dyDescent="0.35">
      <c r="A77" s="7">
        <v>5402</v>
      </c>
      <c r="B77" s="7" t="s">
        <v>237</v>
      </c>
      <c r="C77" s="7" t="s">
        <v>207</v>
      </c>
      <c r="D77" s="7" t="s">
        <v>235</v>
      </c>
      <c r="E77" s="8" t="str">
        <f>IFERROR(INDEX(Mapping!$B$5:$B$41,MATCH($D77,Mapping!$A$5:$A$41,0)),"UNMAPPED")</f>
        <v>Statement of P&amp;L</v>
      </c>
      <c r="F77" s="8" t="str">
        <f>IFERROR(INDEX(Mapping!$D$5:$D$41,MATCH($D77,Mapping!$A$5:$A$41,0)),"UNMAPPED")</f>
        <v>Expenses</v>
      </c>
      <c r="G77" s="8" t="str">
        <f>IFERROR(INDEX(Mapping!$E$5:$E$41,MATCH($D77,Mapping!$A$5:$A$41,0)),"UNMAPPED")</f>
        <v>Other expenses</v>
      </c>
      <c r="H77" s="9">
        <f>IFERROR(INDEX(Mapping!$F$5:$F$41,MATCH($D77,Mapping!$A$5:$A$41,0)),"UNMAPPED")</f>
        <v>34</v>
      </c>
      <c r="I77" s="7" t="s">
        <v>238</v>
      </c>
      <c r="J77" s="11">
        <v>135</v>
      </c>
      <c r="K77" s="10"/>
      <c r="L77" s="11">
        <v>120</v>
      </c>
      <c r="M77" s="10"/>
      <c r="N77" s="12">
        <f t="shared" si="4"/>
        <v>135</v>
      </c>
      <c r="O77" s="12">
        <f t="shared" si="5"/>
        <v>120</v>
      </c>
    </row>
    <row r="78" spans="1:15" x14ac:dyDescent="0.35">
      <c r="A78" s="7">
        <v>5403</v>
      </c>
      <c r="B78" s="7" t="s">
        <v>239</v>
      </c>
      <c r="C78" s="7" t="s">
        <v>207</v>
      </c>
      <c r="D78" s="7" t="s">
        <v>235</v>
      </c>
      <c r="E78" s="8" t="str">
        <f>IFERROR(INDEX(Mapping!$B$5:$B$41,MATCH($D78,Mapping!$A$5:$A$41,0)),"UNMAPPED")</f>
        <v>Statement of P&amp;L</v>
      </c>
      <c r="F78" s="8" t="str">
        <f>IFERROR(INDEX(Mapping!$D$5:$D$41,MATCH($D78,Mapping!$A$5:$A$41,0)),"UNMAPPED")</f>
        <v>Expenses</v>
      </c>
      <c r="G78" s="8" t="str">
        <f>IFERROR(INDEX(Mapping!$E$5:$E$41,MATCH($D78,Mapping!$A$5:$A$41,0)),"UNMAPPED")</f>
        <v>Other expenses</v>
      </c>
      <c r="H78" s="9">
        <f>IFERROR(INDEX(Mapping!$F$5:$F$41,MATCH($D78,Mapping!$A$5:$A$41,0)),"UNMAPPED")</f>
        <v>34</v>
      </c>
      <c r="I78" s="7" t="s">
        <v>240</v>
      </c>
      <c r="J78" s="11">
        <v>95</v>
      </c>
      <c r="K78" s="10"/>
      <c r="L78" s="11">
        <v>85</v>
      </c>
      <c r="M78" s="10"/>
      <c r="N78" s="12">
        <f t="shared" si="4"/>
        <v>95</v>
      </c>
      <c r="O78" s="12">
        <f t="shared" si="5"/>
        <v>85</v>
      </c>
    </row>
    <row r="79" spans="1:15" x14ac:dyDescent="0.35">
      <c r="A79" s="7">
        <v>5404</v>
      </c>
      <c r="B79" s="7" t="s">
        <v>241</v>
      </c>
      <c r="C79" s="7" t="s">
        <v>207</v>
      </c>
      <c r="D79" s="7" t="s">
        <v>235</v>
      </c>
      <c r="E79" s="8" t="str">
        <f>IFERROR(INDEX(Mapping!$B$5:$B$41,MATCH($D79,Mapping!$A$5:$A$41,0)),"UNMAPPED")</f>
        <v>Statement of P&amp;L</v>
      </c>
      <c r="F79" s="8" t="str">
        <f>IFERROR(INDEX(Mapping!$D$5:$D$41,MATCH($D79,Mapping!$A$5:$A$41,0)),"UNMAPPED")</f>
        <v>Expenses</v>
      </c>
      <c r="G79" s="8" t="str">
        <f>IFERROR(INDEX(Mapping!$E$5:$E$41,MATCH($D79,Mapping!$A$5:$A$41,0)),"UNMAPPED")</f>
        <v>Other expenses</v>
      </c>
      <c r="H79" s="9">
        <f>IFERROR(INDEX(Mapping!$F$5:$F$41,MATCH($D79,Mapping!$A$5:$A$41,0)),"UNMAPPED")</f>
        <v>34</v>
      </c>
      <c r="I79" s="7" t="s">
        <v>242</v>
      </c>
      <c r="J79" s="11">
        <v>175</v>
      </c>
      <c r="K79" s="10"/>
      <c r="L79" s="11">
        <v>150</v>
      </c>
      <c r="M79" s="10"/>
      <c r="N79" s="12">
        <f t="shared" si="4"/>
        <v>175</v>
      </c>
      <c r="O79" s="12">
        <f t="shared" si="5"/>
        <v>150</v>
      </c>
    </row>
    <row r="80" spans="1:15" x14ac:dyDescent="0.35">
      <c r="A80" s="7">
        <v>5405</v>
      </c>
      <c r="B80" s="7" t="s">
        <v>243</v>
      </c>
      <c r="C80" s="7" t="s">
        <v>207</v>
      </c>
      <c r="D80" s="7" t="s">
        <v>235</v>
      </c>
      <c r="E80" s="8" t="str">
        <f>IFERROR(INDEX(Mapping!$B$5:$B$41,MATCH($D80,Mapping!$A$5:$A$41,0)),"UNMAPPED")</f>
        <v>Statement of P&amp;L</v>
      </c>
      <c r="F80" s="8" t="str">
        <f>IFERROR(INDEX(Mapping!$D$5:$D$41,MATCH($D80,Mapping!$A$5:$A$41,0)),"UNMAPPED")</f>
        <v>Expenses</v>
      </c>
      <c r="G80" s="8" t="str">
        <f>IFERROR(INDEX(Mapping!$E$5:$E$41,MATCH($D80,Mapping!$A$5:$A$41,0)),"UNMAPPED")</f>
        <v>Other expenses</v>
      </c>
      <c r="H80" s="9">
        <f>IFERROR(INDEX(Mapping!$F$5:$F$41,MATCH($D80,Mapping!$A$5:$A$41,0)),"UNMAPPED")</f>
        <v>34</v>
      </c>
      <c r="I80" s="7" t="s">
        <v>243</v>
      </c>
      <c r="J80" s="11">
        <v>66</v>
      </c>
      <c r="K80" s="10"/>
      <c r="L80" s="11">
        <v>60</v>
      </c>
      <c r="M80" s="10"/>
      <c r="N80" s="12">
        <f t="shared" si="4"/>
        <v>66</v>
      </c>
      <c r="O80" s="12">
        <f t="shared" si="5"/>
        <v>60</v>
      </c>
    </row>
    <row r="81" spans="1:15" x14ac:dyDescent="0.35">
      <c r="A81" s="7">
        <v>5406</v>
      </c>
      <c r="B81" s="7" t="s">
        <v>244</v>
      </c>
      <c r="C81" s="7" t="s">
        <v>207</v>
      </c>
      <c r="D81" s="7" t="s">
        <v>235</v>
      </c>
      <c r="E81" s="8" t="str">
        <f>IFERROR(INDEX(Mapping!$B$5:$B$41,MATCH($D81,Mapping!$A$5:$A$41,0)),"UNMAPPED")</f>
        <v>Statement of P&amp;L</v>
      </c>
      <c r="F81" s="8" t="str">
        <f>IFERROR(INDEX(Mapping!$D$5:$D$41,MATCH($D81,Mapping!$A$5:$A$41,0)),"UNMAPPED")</f>
        <v>Expenses</v>
      </c>
      <c r="G81" s="8" t="str">
        <f>IFERROR(INDEX(Mapping!$E$5:$E$41,MATCH($D81,Mapping!$A$5:$A$41,0)),"UNMAPPED")</f>
        <v>Other expenses</v>
      </c>
      <c r="H81" s="9">
        <f>IFERROR(INDEX(Mapping!$F$5:$F$41,MATCH($D81,Mapping!$A$5:$A$41,0)),"UNMAPPED")</f>
        <v>34</v>
      </c>
      <c r="I81" s="7" t="s">
        <v>244</v>
      </c>
      <c r="J81" s="11">
        <v>32</v>
      </c>
      <c r="K81" s="10"/>
      <c r="L81" s="11">
        <v>28</v>
      </c>
      <c r="M81" s="10"/>
      <c r="N81" s="12">
        <f t="shared" si="4"/>
        <v>32</v>
      </c>
      <c r="O81" s="12">
        <f t="shared" si="5"/>
        <v>28</v>
      </c>
    </row>
    <row r="82" spans="1:15" x14ac:dyDescent="0.35">
      <c r="A82" s="7">
        <v>5407</v>
      </c>
      <c r="B82" s="7" t="s">
        <v>245</v>
      </c>
      <c r="C82" s="7" t="s">
        <v>207</v>
      </c>
      <c r="D82" s="7" t="s">
        <v>235</v>
      </c>
      <c r="E82" s="8" t="str">
        <f>IFERROR(INDEX(Mapping!$B$5:$B$41,MATCH($D82,Mapping!$A$5:$A$41,0)),"UNMAPPED")</f>
        <v>Statement of P&amp;L</v>
      </c>
      <c r="F82" s="8" t="str">
        <f>IFERROR(INDEX(Mapping!$D$5:$D$41,MATCH($D82,Mapping!$A$5:$A$41,0)),"UNMAPPED")</f>
        <v>Expenses</v>
      </c>
      <c r="G82" s="8" t="str">
        <f>IFERROR(INDEX(Mapping!$E$5:$E$41,MATCH($D82,Mapping!$A$5:$A$41,0)),"UNMAPPED")</f>
        <v>Other expenses</v>
      </c>
      <c r="H82" s="9">
        <f>IFERROR(INDEX(Mapping!$F$5:$F$41,MATCH($D82,Mapping!$A$5:$A$41,0)),"UNMAPPED")</f>
        <v>34</v>
      </c>
      <c r="I82" s="7" t="s">
        <v>246</v>
      </c>
      <c r="J82" s="11">
        <v>25</v>
      </c>
      <c r="K82" s="10"/>
      <c r="L82" s="11">
        <v>22</v>
      </c>
      <c r="M82" s="10"/>
      <c r="N82" s="12">
        <f t="shared" si="4"/>
        <v>25</v>
      </c>
      <c r="O82" s="12">
        <f t="shared" si="5"/>
        <v>22</v>
      </c>
    </row>
    <row r="83" spans="1:15" x14ac:dyDescent="0.35">
      <c r="A83" s="7">
        <v>5408</v>
      </c>
      <c r="B83" s="7" t="s">
        <v>247</v>
      </c>
      <c r="C83" s="7" t="s">
        <v>207</v>
      </c>
      <c r="D83" s="7" t="s">
        <v>235</v>
      </c>
      <c r="E83" s="8" t="str">
        <f>IFERROR(INDEX(Mapping!$B$5:$B$41,MATCH($D83,Mapping!$A$5:$A$41,0)),"UNMAPPED")</f>
        <v>Statement of P&amp;L</v>
      </c>
      <c r="F83" s="8" t="str">
        <f>IFERROR(INDEX(Mapping!$D$5:$D$41,MATCH($D83,Mapping!$A$5:$A$41,0)),"UNMAPPED")</f>
        <v>Expenses</v>
      </c>
      <c r="G83" s="8" t="str">
        <f>IFERROR(INDEX(Mapping!$E$5:$E$41,MATCH($D83,Mapping!$A$5:$A$41,0)),"UNMAPPED")</f>
        <v>Other expenses</v>
      </c>
      <c r="H83" s="9">
        <f>IFERROR(INDEX(Mapping!$F$5:$F$41,MATCH($D83,Mapping!$A$5:$A$41,0)),"UNMAPPED")</f>
        <v>34</v>
      </c>
      <c r="I83" s="7" t="s">
        <v>248</v>
      </c>
      <c r="J83" s="11">
        <v>46</v>
      </c>
      <c r="K83" s="10"/>
      <c r="L83" s="11">
        <v>40</v>
      </c>
      <c r="M83" s="10"/>
      <c r="N83" s="12">
        <f t="shared" si="4"/>
        <v>46</v>
      </c>
      <c r="O83" s="12">
        <f t="shared" si="5"/>
        <v>40</v>
      </c>
    </row>
    <row r="84" spans="1:15" x14ac:dyDescent="0.35">
      <c r="A84" s="7">
        <v>5409</v>
      </c>
      <c r="B84" s="7" t="s">
        <v>249</v>
      </c>
      <c r="C84" s="7" t="s">
        <v>207</v>
      </c>
      <c r="D84" s="7" t="s">
        <v>235</v>
      </c>
      <c r="E84" s="8" t="str">
        <f>IFERROR(INDEX(Mapping!$B$5:$B$41,MATCH($D84,Mapping!$A$5:$A$41,0)),"UNMAPPED")</f>
        <v>Statement of P&amp;L</v>
      </c>
      <c r="F84" s="8" t="str">
        <f>IFERROR(INDEX(Mapping!$D$5:$D$41,MATCH($D84,Mapping!$A$5:$A$41,0)),"UNMAPPED")</f>
        <v>Expenses</v>
      </c>
      <c r="G84" s="8" t="str">
        <f>IFERROR(INDEX(Mapping!$E$5:$E$41,MATCH($D84,Mapping!$A$5:$A$41,0)),"UNMAPPED")</f>
        <v>Other expenses</v>
      </c>
      <c r="H84" s="9">
        <f>IFERROR(INDEX(Mapping!$F$5:$F$41,MATCH($D84,Mapping!$A$5:$A$41,0)),"UNMAPPED")</f>
        <v>34</v>
      </c>
      <c r="I84" s="7" t="s">
        <v>250</v>
      </c>
      <c r="J84" s="11">
        <v>14</v>
      </c>
      <c r="K84" s="10"/>
      <c r="L84" s="11">
        <v>12</v>
      </c>
      <c r="M84" s="10"/>
      <c r="N84" s="12">
        <f t="shared" si="4"/>
        <v>14</v>
      </c>
      <c r="O84" s="12">
        <f t="shared" si="5"/>
        <v>12</v>
      </c>
    </row>
    <row r="85" spans="1:15" x14ac:dyDescent="0.35">
      <c r="A85" s="7">
        <v>5410</v>
      </c>
      <c r="B85" s="7" t="s">
        <v>251</v>
      </c>
      <c r="C85" s="7" t="s">
        <v>207</v>
      </c>
      <c r="D85" s="7" t="s">
        <v>235</v>
      </c>
      <c r="E85" s="8" t="str">
        <f>IFERROR(INDEX(Mapping!$B$5:$B$41,MATCH($D85,Mapping!$A$5:$A$41,0)),"UNMAPPED")</f>
        <v>Statement of P&amp;L</v>
      </c>
      <c r="F85" s="8" t="str">
        <f>IFERROR(INDEX(Mapping!$D$5:$D$41,MATCH($D85,Mapping!$A$5:$A$41,0)),"UNMAPPED")</f>
        <v>Expenses</v>
      </c>
      <c r="G85" s="8" t="str">
        <f>IFERROR(INDEX(Mapping!$E$5:$E$41,MATCH($D85,Mapping!$A$5:$A$41,0)),"UNMAPPED")</f>
        <v>Other expenses</v>
      </c>
      <c r="H85" s="9">
        <f>IFERROR(INDEX(Mapping!$F$5:$F$41,MATCH($D85,Mapping!$A$5:$A$41,0)),"UNMAPPED")</f>
        <v>34</v>
      </c>
      <c r="I85" s="7" t="s">
        <v>252</v>
      </c>
      <c r="J85" s="11">
        <v>52</v>
      </c>
      <c r="K85" s="10"/>
      <c r="L85" s="11">
        <v>45</v>
      </c>
      <c r="M85" s="10"/>
      <c r="N85" s="12">
        <f t="shared" si="4"/>
        <v>52</v>
      </c>
      <c r="O85" s="12">
        <f t="shared" si="5"/>
        <v>45</v>
      </c>
    </row>
    <row r="86" spans="1:15" x14ac:dyDescent="0.35">
      <c r="A86" s="7">
        <v>5411</v>
      </c>
      <c r="B86" s="7" t="s">
        <v>253</v>
      </c>
      <c r="C86" s="7" t="s">
        <v>207</v>
      </c>
      <c r="D86" s="7" t="s">
        <v>235</v>
      </c>
      <c r="E86" s="8" t="str">
        <f>IFERROR(INDEX(Mapping!$B$5:$B$41,MATCH($D86,Mapping!$A$5:$A$41,0)),"UNMAPPED")</f>
        <v>Statement of P&amp;L</v>
      </c>
      <c r="F86" s="8" t="str">
        <f>IFERROR(INDEX(Mapping!$D$5:$D$41,MATCH($D86,Mapping!$A$5:$A$41,0)),"UNMAPPED")</f>
        <v>Expenses</v>
      </c>
      <c r="G86" s="8" t="str">
        <f>IFERROR(INDEX(Mapping!$E$5:$E$41,MATCH($D86,Mapping!$A$5:$A$41,0)),"UNMAPPED")</f>
        <v>Other expenses</v>
      </c>
      <c r="H86" s="9">
        <f>IFERROR(INDEX(Mapping!$F$5:$F$41,MATCH($D86,Mapping!$A$5:$A$41,0)),"UNMAPPED")</f>
        <v>34</v>
      </c>
      <c r="I86" s="7" t="s">
        <v>254</v>
      </c>
      <c r="J86" s="11">
        <v>12</v>
      </c>
      <c r="K86" s="10"/>
      <c r="L86" s="11">
        <v>10</v>
      </c>
      <c r="M86" s="10"/>
      <c r="N86" s="12">
        <f t="shared" si="4"/>
        <v>12</v>
      </c>
      <c r="O86" s="12">
        <f t="shared" si="5"/>
        <v>10</v>
      </c>
    </row>
    <row r="87" spans="1:15" x14ac:dyDescent="0.35">
      <c r="A87" s="7">
        <v>5412</v>
      </c>
      <c r="B87" s="7" t="s">
        <v>255</v>
      </c>
      <c r="C87" s="7" t="s">
        <v>207</v>
      </c>
      <c r="D87" s="7" t="s">
        <v>235</v>
      </c>
      <c r="E87" s="8" t="str">
        <f>IFERROR(INDEX(Mapping!$B$5:$B$41,MATCH($D87,Mapping!$A$5:$A$41,0)),"UNMAPPED")</f>
        <v>Statement of P&amp;L</v>
      </c>
      <c r="F87" s="8" t="str">
        <f>IFERROR(INDEX(Mapping!$D$5:$D$41,MATCH($D87,Mapping!$A$5:$A$41,0)),"UNMAPPED")</f>
        <v>Expenses</v>
      </c>
      <c r="G87" s="8" t="str">
        <f>IFERROR(INDEX(Mapping!$E$5:$E$41,MATCH($D87,Mapping!$A$5:$A$41,0)),"UNMAPPED")</f>
        <v>Other expenses</v>
      </c>
      <c r="H87" s="9">
        <f>IFERROR(INDEX(Mapping!$F$5:$F$41,MATCH($D87,Mapping!$A$5:$A$41,0)),"UNMAPPED")</f>
        <v>34</v>
      </c>
      <c r="I87" s="7" t="s">
        <v>256</v>
      </c>
      <c r="J87" s="11">
        <v>15</v>
      </c>
      <c r="K87" s="10"/>
      <c r="L87" s="11">
        <v>14</v>
      </c>
      <c r="M87" s="10"/>
      <c r="N87" s="12">
        <f t="shared" si="4"/>
        <v>15</v>
      </c>
      <c r="O87" s="12">
        <f t="shared" si="5"/>
        <v>14</v>
      </c>
    </row>
    <row r="88" spans="1:15" x14ac:dyDescent="0.35">
      <c r="A88" s="7">
        <v>5413</v>
      </c>
      <c r="B88" s="7" t="s">
        <v>257</v>
      </c>
      <c r="C88" s="7" t="s">
        <v>207</v>
      </c>
      <c r="D88" s="7" t="s">
        <v>235</v>
      </c>
      <c r="E88" s="8" t="str">
        <f>IFERROR(INDEX(Mapping!$B$5:$B$41,MATCH($D88,Mapping!$A$5:$A$41,0)),"UNMAPPED")</f>
        <v>Statement of P&amp;L</v>
      </c>
      <c r="F88" s="8" t="str">
        <f>IFERROR(INDEX(Mapping!$D$5:$D$41,MATCH($D88,Mapping!$A$5:$A$41,0)),"UNMAPPED")</f>
        <v>Expenses</v>
      </c>
      <c r="G88" s="8" t="str">
        <f>IFERROR(INDEX(Mapping!$E$5:$E$41,MATCH($D88,Mapping!$A$5:$A$41,0)),"UNMAPPED")</f>
        <v>Other expenses</v>
      </c>
      <c r="H88" s="9">
        <f>IFERROR(INDEX(Mapping!$F$5:$F$41,MATCH($D88,Mapping!$A$5:$A$41,0)),"UNMAPPED")</f>
        <v>34</v>
      </c>
      <c r="I88" s="7" t="s">
        <v>258</v>
      </c>
      <c r="J88" s="11">
        <v>65</v>
      </c>
      <c r="K88" s="10"/>
      <c r="L88" s="11">
        <v>55</v>
      </c>
      <c r="M88" s="10"/>
      <c r="N88" s="12">
        <f t="shared" si="4"/>
        <v>65</v>
      </c>
      <c r="O88" s="12">
        <f t="shared" si="5"/>
        <v>55</v>
      </c>
    </row>
    <row r="89" spans="1:15" x14ac:dyDescent="0.35">
      <c r="A89" s="7">
        <v>5414</v>
      </c>
      <c r="B89" s="7" t="s">
        <v>259</v>
      </c>
      <c r="C89" s="7" t="s">
        <v>207</v>
      </c>
      <c r="D89" s="7" t="s">
        <v>235</v>
      </c>
      <c r="E89" s="8" t="str">
        <f>IFERROR(INDEX(Mapping!$B$5:$B$41,MATCH($D89,Mapping!$A$5:$A$41,0)),"UNMAPPED")</f>
        <v>Statement of P&amp;L</v>
      </c>
      <c r="F89" s="8" t="str">
        <f>IFERROR(INDEX(Mapping!$D$5:$D$41,MATCH($D89,Mapping!$A$5:$A$41,0)),"UNMAPPED")</f>
        <v>Expenses</v>
      </c>
      <c r="G89" s="8" t="str">
        <f>IFERROR(INDEX(Mapping!$E$5:$E$41,MATCH($D89,Mapping!$A$5:$A$41,0)),"UNMAPPED")</f>
        <v>Other expenses</v>
      </c>
      <c r="H89" s="9">
        <f>IFERROR(INDEX(Mapping!$F$5:$F$41,MATCH($D89,Mapping!$A$5:$A$41,0)),"UNMAPPED")</f>
        <v>34</v>
      </c>
      <c r="I89" s="7" t="s">
        <v>260</v>
      </c>
      <c r="J89" s="11">
        <v>12</v>
      </c>
      <c r="K89" s="10"/>
      <c r="L89" s="11">
        <v>8</v>
      </c>
      <c r="M89" s="10"/>
      <c r="N89" s="12">
        <f t="shared" si="4"/>
        <v>12</v>
      </c>
      <c r="O89" s="12">
        <f t="shared" si="5"/>
        <v>8</v>
      </c>
    </row>
    <row r="90" spans="1:15" x14ac:dyDescent="0.35">
      <c r="A90" s="7">
        <v>5415</v>
      </c>
      <c r="B90" s="7" t="s">
        <v>261</v>
      </c>
      <c r="C90" s="7" t="s">
        <v>207</v>
      </c>
      <c r="D90" s="7" t="s">
        <v>235</v>
      </c>
      <c r="E90" s="8" t="str">
        <f>IFERROR(INDEX(Mapping!$B$5:$B$41,MATCH($D90,Mapping!$A$5:$A$41,0)),"UNMAPPED")</f>
        <v>Statement of P&amp;L</v>
      </c>
      <c r="F90" s="8" t="str">
        <f>IFERROR(INDEX(Mapping!$D$5:$D$41,MATCH($D90,Mapping!$A$5:$A$41,0)),"UNMAPPED")</f>
        <v>Expenses</v>
      </c>
      <c r="G90" s="8" t="str">
        <f>IFERROR(INDEX(Mapping!$E$5:$E$41,MATCH($D90,Mapping!$A$5:$A$41,0)),"UNMAPPED")</f>
        <v>Other expenses</v>
      </c>
      <c r="H90" s="9">
        <f>IFERROR(INDEX(Mapping!$F$5:$F$41,MATCH($D90,Mapping!$A$5:$A$41,0)),"UNMAPPED")</f>
        <v>34</v>
      </c>
      <c r="I90" s="7" t="s">
        <v>262</v>
      </c>
      <c r="J90" s="11">
        <v>15</v>
      </c>
      <c r="K90" s="10"/>
      <c r="L90" s="11">
        <v>10</v>
      </c>
      <c r="M90" s="10"/>
      <c r="N90" s="12">
        <f t="shared" si="4"/>
        <v>15</v>
      </c>
      <c r="O90" s="12">
        <f t="shared" si="5"/>
        <v>10</v>
      </c>
    </row>
    <row r="91" spans="1:15" x14ac:dyDescent="0.35">
      <c r="A91" s="7">
        <v>5416</v>
      </c>
      <c r="B91" s="7" t="s">
        <v>263</v>
      </c>
      <c r="C91" s="7" t="s">
        <v>207</v>
      </c>
      <c r="D91" s="7" t="s">
        <v>235</v>
      </c>
      <c r="E91" s="8" t="str">
        <f>IFERROR(INDEX(Mapping!$B$5:$B$41,MATCH($D91,Mapping!$A$5:$A$41,0)),"UNMAPPED")</f>
        <v>Statement of P&amp;L</v>
      </c>
      <c r="F91" s="8" t="str">
        <f>IFERROR(INDEX(Mapping!$D$5:$D$41,MATCH($D91,Mapping!$A$5:$A$41,0)),"UNMAPPED")</f>
        <v>Expenses</v>
      </c>
      <c r="G91" s="8" t="str">
        <f>IFERROR(INDEX(Mapping!$E$5:$E$41,MATCH($D91,Mapping!$A$5:$A$41,0)),"UNMAPPED")</f>
        <v>Other expenses</v>
      </c>
      <c r="H91" s="9">
        <f>IFERROR(INDEX(Mapping!$F$5:$F$41,MATCH($D91,Mapping!$A$5:$A$41,0)),"UNMAPPED")</f>
        <v>34</v>
      </c>
      <c r="I91" s="7" t="s">
        <v>264</v>
      </c>
      <c r="J91" s="11">
        <v>22</v>
      </c>
      <c r="K91" s="10"/>
      <c r="L91" s="11">
        <v>18</v>
      </c>
      <c r="M91" s="10"/>
      <c r="N91" s="12">
        <f t="shared" si="4"/>
        <v>22</v>
      </c>
      <c r="O91" s="12">
        <f t="shared" si="5"/>
        <v>18</v>
      </c>
    </row>
    <row r="92" spans="1:15" x14ac:dyDescent="0.35">
      <c r="A92" s="7">
        <v>5417</v>
      </c>
      <c r="B92" s="7" t="s">
        <v>265</v>
      </c>
      <c r="C92" s="7" t="s">
        <v>207</v>
      </c>
      <c r="D92" s="7" t="s">
        <v>235</v>
      </c>
      <c r="E92" s="8" t="str">
        <f>IFERROR(INDEX(Mapping!$B$5:$B$41,MATCH($D92,Mapping!$A$5:$A$41,0)),"UNMAPPED")</f>
        <v>Statement of P&amp;L</v>
      </c>
      <c r="F92" s="8" t="str">
        <f>IFERROR(INDEX(Mapping!$D$5:$D$41,MATCH($D92,Mapping!$A$5:$A$41,0)),"UNMAPPED")</f>
        <v>Expenses</v>
      </c>
      <c r="G92" s="8" t="str">
        <f>IFERROR(INDEX(Mapping!$E$5:$E$41,MATCH($D92,Mapping!$A$5:$A$41,0)),"UNMAPPED")</f>
        <v>Other expenses</v>
      </c>
      <c r="H92" s="9">
        <f>IFERROR(INDEX(Mapping!$F$5:$F$41,MATCH($D92,Mapping!$A$5:$A$41,0)),"UNMAPPED")</f>
        <v>34</v>
      </c>
      <c r="I92" s="7" t="s">
        <v>266</v>
      </c>
      <c r="J92" s="11">
        <v>28</v>
      </c>
      <c r="K92" s="10"/>
      <c r="L92" s="11">
        <v>25</v>
      </c>
      <c r="M92" s="10"/>
      <c r="N92" s="12">
        <f t="shared" si="4"/>
        <v>28</v>
      </c>
      <c r="O92" s="12">
        <f t="shared" si="5"/>
        <v>25</v>
      </c>
    </row>
    <row r="93" spans="1:15" x14ac:dyDescent="0.35">
      <c r="A93" s="7">
        <v>5501</v>
      </c>
      <c r="B93" s="7" t="s">
        <v>267</v>
      </c>
      <c r="C93" s="7" t="s">
        <v>207</v>
      </c>
      <c r="D93" s="7" t="s">
        <v>268</v>
      </c>
      <c r="E93" s="8" t="str">
        <f>IFERROR(INDEX(Mapping!$B$5:$B$41,MATCH($D93,Mapping!$A$5:$A$41,0)),"UNMAPPED")</f>
        <v>Statement of P&amp;L</v>
      </c>
      <c r="F93" s="8" t="str">
        <f>IFERROR(INDEX(Mapping!$D$5:$D$41,MATCH($D93,Mapping!$A$5:$A$41,0)),"UNMAPPED")</f>
        <v>Tax expense</v>
      </c>
      <c r="G93" s="8" t="str">
        <f>IFERROR(INDEX(Mapping!$E$5:$E$41,MATCH($D93,Mapping!$A$5:$A$41,0)),"UNMAPPED")</f>
        <v>Tax expense - Current tax</v>
      </c>
      <c r="H93" s="9">
        <f>IFERROR(INDEX(Mapping!$F$5:$F$41,MATCH($D93,Mapping!$A$5:$A$41,0)),"UNMAPPED")</f>
        <v>36</v>
      </c>
      <c r="I93" s="7" t="s">
        <v>269</v>
      </c>
      <c r="J93" s="11">
        <v>256</v>
      </c>
      <c r="K93" s="10"/>
      <c r="L93" s="11">
        <v>195</v>
      </c>
      <c r="M93" s="10"/>
      <c r="N93" s="12">
        <f t="shared" si="4"/>
        <v>256</v>
      </c>
      <c r="O93" s="12">
        <f t="shared" si="5"/>
        <v>195</v>
      </c>
    </row>
    <row r="94" spans="1:15" x14ac:dyDescent="0.35">
      <c r="A94" s="7">
        <v>5502</v>
      </c>
      <c r="B94" s="7" t="s">
        <v>270</v>
      </c>
      <c r="C94" s="7" t="s">
        <v>207</v>
      </c>
      <c r="D94" s="7" t="s">
        <v>271</v>
      </c>
      <c r="E94" s="8" t="str">
        <f>IFERROR(INDEX(Mapping!$B$5:$B$41,MATCH($D94,Mapping!$A$5:$A$41,0)),"UNMAPPED")</f>
        <v>Statement of P&amp;L</v>
      </c>
      <c r="F94" s="8" t="str">
        <f>IFERROR(INDEX(Mapping!$D$5:$D$41,MATCH($D94,Mapping!$A$5:$A$41,0)),"UNMAPPED")</f>
        <v>Tax expense</v>
      </c>
      <c r="G94" s="8" t="str">
        <f>IFERROR(INDEX(Mapping!$E$5:$E$41,MATCH($D94,Mapping!$A$5:$A$41,0)),"UNMAPPED")</f>
        <v>Tax expense - Deferred tax</v>
      </c>
      <c r="H94" s="9">
        <f>IFERROR(INDEX(Mapping!$F$5:$F$41,MATCH($D94,Mapping!$A$5:$A$41,0)),"UNMAPPED")</f>
        <v>37</v>
      </c>
      <c r="I94" s="7" t="s">
        <v>272</v>
      </c>
      <c r="J94" s="11">
        <v>15</v>
      </c>
      <c r="K94" s="10"/>
      <c r="L94" s="11">
        <v>10</v>
      </c>
      <c r="M94" s="10"/>
      <c r="N94" s="12">
        <f t="shared" si="4"/>
        <v>15</v>
      </c>
      <c r="O94" s="12">
        <f t="shared" si="5"/>
        <v>10</v>
      </c>
    </row>
    <row r="95" spans="1:15" x14ac:dyDescent="0.35">
      <c r="B95" s="2" t="s">
        <v>273</v>
      </c>
      <c r="J95" s="13">
        <f t="shared" ref="J95:O95" si="6">SUM(J5:J94)</f>
        <v>17735</v>
      </c>
      <c r="K95" s="13">
        <f t="shared" si="6"/>
        <v>17735</v>
      </c>
      <c r="L95" s="13">
        <f t="shared" si="6"/>
        <v>15907</v>
      </c>
      <c r="M95" s="13">
        <f t="shared" si="6"/>
        <v>15907</v>
      </c>
      <c r="N95" s="13">
        <f t="shared" si="6"/>
        <v>0</v>
      </c>
      <c r="O95" s="13">
        <f t="shared" si="6"/>
        <v>0</v>
      </c>
    </row>
    <row r="96" spans="1:15" x14ac:dyDescent="0.35">
      <c r="B96" s="2" t="s">
        <v>274</v>
      </c>
      <c r="J96" s="14">
        <f>J95-K95</f>
        <v>0</v>
      </c>
      <c r="L96" s="14">
        <f>L95-M95</f>
        <v>0</v>
      </c>
    </row>
    <row r="98" spans="2:2" x14ac:dyDescent="0.35">
      <c r="B98" s="5" t="s">
        <v>275</v>
      </c>
    </row>
  </sheetData>
  <autoFilter ref="A4:O94" xr:uid="{00000000-0009-0000-0000-000001000000}"/>
  <conditionalFormatting sqref="E5:H94">
    <cfRule type="expression" dxfId="2" priority="2">
      <formula>$E5="UNMAPPED"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8" customWidth="1"/>
    <col min="3" max="3" width="22" customWidth="1"/>
    <col min="4" max="4" width="24" customWidth="1"/>
    <col min="5" max="5" width="60" customWidth="1"/>
    <col min="6" max="6" width="10" customWidth="1"/>
    <col min="7" max="7" width="14" customWidth="1"/>
    <col min="8" max="8" width="50" customWidth="1"/>
  </cols>
  <sheetData>
    <row r="1" spans="1:8" ht="18" x14ac:dyDescent="0.4">
      <c r="A1" s="1" t="s">
        <v>276</v>
      </c>
    </row>
    <row r="2" spans="1:8" x14ac:dyDescent="0.35">
      <c r="A2" s="5" t="s">
        <v>277</v>
      </c>
    </row>
    <row r="4" spans="1:8" ht="31.5" customHeight="1" x14ac:dyDescent="0.35">
      <c r="A4" s="6" t="s">
        <v>50</v>
      </c>
      <c r="B4" s="6" t="s">
        <v>51</v>
      </c>
      <c r="C4" s="6" t="s">
        <v>278</v>
      </c>
      <c r="D4" s="6" t="s">
        <v>52</v>
      </c>
      <c r="E4" s="6" t="s">
        <v>53</v>
      </c>
      <c r="F4" s="6" t="s">
        <v>54</v>
      </c>
      <c r="G4" s="6" t="s">
        <v>279</v>
      </c>
      <c r="H4" s="6" t="s">
        <v>280</v>
      </c>
    </row>
    <row r="5" spans="1:8" x14ac:dyDescent="0.35">
      <c r="A5" s="7" t="s">
        <v>64</v>
      </c>
      <c r="B5" s="4" t="s">
        <v>281</v>
      </c>
      <c r="C5" s="4" t="s">
        <v>282</v>
      </c>
      <c r="D5" s="4" t="s">
        <v>283</v>
      </c>
      <c r="E5" s="4" t="s">
        <v>284</v>
      </c>
      <c r="F5" s="4">
        <v>1</v>
      </c>
      <c r="G5" s="4" t="s">
        <v>285</v>
      </c>
      <c r="H5" s="4" t="s">
        <v>286</v>
      </c>
    </row>
    <row r="6" spans="1:8" x14ac:dyDescent="0.35">
      <c r="A6" s="7" t="s">
        <v>67</v>
      </c>
      <c r="B6" s="4" t="s">
        <v>281</v>
      </c>
      <c r="C6" s="4" t="s">
        <v>282</v>
      </c>
      <c r="D6" s="4" t="s">
        <v>283</v>
      </c>
      <c r="E6" s="4" t="s">
        <v>287</v>
      </c>
      <c r="F6" s="4">
        <v>2</v>
      </c>
      <c r="G6" s="4" t="s">
        <v>285</v>
      </c>
      <c r="H6" s="4" t="s">
        <v>288</v>
      </c>
    </row>
    <row r="7" spans="1:8" x14ac:dyDescent="0.35">
      <c r="A7" s="7" t="s">
        <v>75</v>
      </c>
      <c r="B7" s="4" t="s">
        <v>281</v>
      </c>
      <c r="C7" s="4" t="s">
        <v>282</v>
      </c>
      <c r="D7" s="4" t="s">
        <v>289</v>
      </c>
      <c r="E7" s="4" t="s">
        <v>290</v>
      </c>
      <c r="F7" s="4">
        <v>3</v>
      </c>
      <c r="G7" s="4" t="s">
        <v>285</v>
      </c>
      <c r="H7" s="4" t="s">
        <v>291</v>
      </c>
    </row>
    <row r="8" spans="1:8" x14ac:dyDescent="0.35">
      <c r="A8" s="7" t="s">
        <v>78</v>
      </c>
      <c r="B8" s="4" t="s">
        <v>281</v>
      </c>
      <c r="C8" s="4" t="s">
        <v>282</v>
      </c>
      <c r="D8" s="4" t="s">
        <v>289</v>
      </c>
      <c r="E8" s="4" t="s">
        <v>292</v>
      </c>
      <c r="F8" s="4">
        <v>4</v>
      </c>
      <c r="G8" s="4" t="s">
        <v>285</v>
      </c>
      <c r="H8" s="4" t="s">
        <v>293</v>
      </c>
    </row>
    <row r="9" spans="1:8" x14ac:dyDescent="0.35">
      <c r="A9" s="7" t="s">
        <v>294</v>
      </c>
      <c r="B9" s="4" t="s">
        <v>281</v>
      </c>
      <c r="C9" s="4" t="s">
        <v>282</v>
      </c>
      <c r="D9" s="4" t="s">
        <v>289</v>
      </c>
      <c r="E9" s="4" t="s">
        <v>295</v>
      </c>
      <c r="F9" s="4">
        <v>5</v>
      </c>
      <c r="G9" s="4" t="s">
        <v>285</v>
      </c>
      <c r="H9" s="4" t="s">
        <v>296</v>
      </c>
    </row>
    <row r="10" spans="1:8" x14ac:dyDescent="0.35">
      <c r="A10" s="7" t="s">
        <v>81</v>
      </c>
      <c r="B10" s="4" t="s">
        <v>281</v>
      </c>
      <c r="C10" s="4" t="s">
        <v>282</v>
      </c>
      <c r="D10" s="4" t="s">
        <v>289</v>
      </c>
      <c r="E10" s="4" t="s">
        <v>297</v>
      </c>
      <c r="F10" s="4">
        <v>6</v>
      </c>
      <c r="G10" s="4" t="s">
        <v>285</v>
      </c>
      <c r="H10" s="4" t="s">
        <v>298</v>
      </c>
    </row>
    <row r="11" spans="1:8" x14ac:dyDescent="0.35">
      <c r="A11" s="7" t="s">
        <v>84</v>
      </c>
      <c r="B11" s="4" t="s">
        <v>281</v>
      </c>
      <c r="C11" s="4" t="s">
        <v>282</v>
      </c>
      <c r="D11" s="4" t="s">
        <v>299</v>
      </c>
      <c r="E11" s="4" t="s">
        <v>300</v>
      </c>
      <c r="F11" s="4">
        <v>7</v>
      </c>
      <c r="G11" s="4" t="s">
        <v>285</v>
      </c>
      <c r="H11" s="4" t="s">
        <v>301</v>
      </c>
    </row>
    <row r="12" spans="1:8" x14ac:dyDescent="0.35">
      <c r="A12" s="7" t="s">
        <v>87</v>
      </c>
      <c r="B12" s="4" t="s">
        <v>281</v>
      </c>
      <c r="C12" s="4" t="s">
        <v>282</v>
      </c>
      <c r="D12" s="4" t="s">
        <v>299</v>
      </c>
      <c r="E12" s="4" t="s">
        <v>302</v>
      </c>
      <c r="F12" s="4">
        <v>8</v>
      </c>
      <c r="G12" s="4" t="s">
        <v>285</v>
      </c>
      <c r="H12" s="4" t="s">
        <v>303</v>
      </c>
    </row>
    <row r="13" spans="1:8" x14ac:dyDescent="0.35">
      <c r="A13" s="7" t="s">
        <v>92</v>
      </c>
      <c r="B13" s="4" t="s">
        <v>281</v>
      </c>
      <c r="C13" s="4" t="s">
        <v>282</v>
      </c>
      <c r="D13" s="4" t="s">
        <v>299</v>
      </c>
      <c r="E13" s="4" t="s">
        <v>304</v>
      </c>
      <c r="F13" s="4">
        <v>9</v>
      </c>
      <c r="G13" s="4" t="s">
        <v>285</v>
      </c>
      <c r="H13" s="4" t="s">
        <v>305</v>
      </c>
    </row>
    <row r="14" spans="1:8" x14ac:dyDescent="0.35">
      <c r="A14" s="7" t="s">
        <v>105</v>
      </c>
      <c r="B14" s="4" t="s">
        <v>281</v>
      </c>
      <c r="C14" s="4" t="s">
        <v>282</v>
      </c>
      <c r="D14" s="4" t="s">
        <v>299</v>
      </c>
      <c r="E14" s="4" t="s">
        <v>306</v>
      </c>
      <c r="F14" s="4">
        <v>10</v>
      </c>
      <c r="G14" s="4" t="s">
        <v>285</v>
      </c>
      <c r="H14" s="4" t="s">
        <v>307</v>
      </c>
    </row>
    <row r="15" spans="1:8" x14ac:dyDescent="0.35">
      <c r="A15" s="7" t="s">
        <v>110</v>
      </c>
      <c r="B15" s="4" t="s">
        <v>281</v>
      </c>
      <c r="C15" s="4" t="s">
        <v>308</v>
      </c>
      <c r="D15" s="4" t="s">
        <v>309</v>
      </c>
      <c r="E15" s="4" t="s">
        <v>310</v>
      </c>
      <c r="F15" s="4">
        <v>11</v>
      </c>
      <c r="G15" s="4" t="s">
        <v>311</v>
      </c>
      <c r="H15" s="4" t="s">
        <v>312</v>
      </c>
    </row>
    <row r="16" spans="1:8" x14ac:dyDescent="0.35">
      <c r="A16" s="7" t="s">
        <v>133</v>
      </c>
      <c r="B16" s="4" t="s">
        <v>281</v>
      </c>
      <c r="C16" s="4" t="s">
        <v>308</v>
      </c>
      <c r="D16" s="4" t="s">
        <v>309</v>
      </c>
      <c r="E16" s="4" t="s">
        <v>313</v>
      </c>
      <c r="F16" s="4">
        <v>12</v>
      </c>
      <c r="G16" s="4" t="s">
        <v>311</v>
      </c>
      <c r="H16" s="4" t="s">
        <v>314</v>
      </c>
    </row>
    <row r="17" spans="1:8" x14ac:dyDescent="0.35">
      <c r="A17" s="7" t="s">
        <v>138</v>
      </c>
      <c r="B17" s="4" t="s">
        <v>281</v>
      </c>
      <c r="C17" s="4" t="s">
        <v>308</v>
      </c>
      <c r="D17" s="4" t="s">
        <v>309</v>
      </c>
      <c r="E17" s="4" t="s">
        <v>315</v>
      </c>
      <c r="F17" s="4">
        <v>13</v>
      </c>
      <c r="G17" s="4" t="s">
        <v>311</v>
      </c>
      <c r="H17" s="4" t="s">
        <v>316</v>
      </c>
    </row>
    <row r="18" spans="1:8" x14ac:dyDescent="0.35">
      <c r="A18" s="7" t="s">
        <v>317</v>
      </c>
      <c r="B18" s="4" t="s">
        <v>281</v>
      </c>
      <c r="C18" s="4" t="s">
        <v>308</v>
      </c>
      <c r="D18" s="4" t="s">
        <v>309</v>
      </c>
      <c r="E18" s="4" t="s">
        <v>318</v>
      </c>
      <c r="F18" s="4">
        <v>14</v>
      </c>
      <c r="G18" s="4" t="s">
        <v>311</v>
      </c>
      <c r="H18" s="4" t="s">
        <v>319</v>
      </c>
    </row>
    <row r="19" spans="1:8" x14ac:dyDescent="0.35">
      <c r="A19" s="7" t="s">
        <v>141</v>
      </c>
      <c r="B19" s="4" t="s">
        <v>281</v>
      </c>
      <c r="C19" s="4" t="s">
        <v>308</v>
      </c>
      <c r="D19" s="4" t="s">
        <v>309</v>
      </c>
      <c r="E19" s="4" t="s">
        <v>320</v>
      </c>
      <c r="F19" s="4">
        <v>15</v>
      </c>
      <c r="G19" s="4" t="s">
        <v>311</v>
      </c>
      <c r="H19" s="4" t="s">
        <v>321</v>
      </c>
    </row>
    <row r="20" spans="1:8" x14ac:dyDescent="0.35">
      <c r="A20" s="7" t="s">
        <v>322</v>
      </c>
      <c r="B20" s="4" t="s">
        <v>281</v>
      </c>
      <c r="C20" s="4" t="s">
        <v>308</v>
      </c>
      <c r="D20" s="4" t="s">
        <v>309</v>
      </c>
      <c r="E20" s="4" t="s">
        <v>323</v>
      </c>
      <c r="F20" s="4">
        <v>16</v>
      </c>
      <c r="G20" s="4" t="s">
        <v>311</v>
      </c>
      <c r="H20" s="4" t="s">
        <v>324</v>
      </c>
    </row>
    <row r="21" spans="1:8" x14ac:dyDescent="0.35">
      <c r="A21" s="7" t="s">
        <v>144</v>
      </c>
      <c r="B21" s="4" t="s">
        <v>281</v>
      </c>
      <c r="C21" s="4" t="s">
        <v>308</v>
      </c>
      <c r="D21" s="4" t="s">
        <v>309</v>
      </c>
      <c r="E21" s="4" t="s">
        <v>325</v>
      </c>
      <c r="F21" s="4">
        <v>17</v>
      </c>
      <c r="G21" s="4" t="s">
        <v>311</v>
      </c>
      <c r="H21" s="4" t="s">
        <v>326</v>
      </c>
    </row>
    <row r="22" spans="1:8" x14ac:dyDescent="0.35">
      <c r="A22" s="7" t="s">
        <v>149</v>
      </c>
      <c r="B22" s="4" t="s">
        <v>281</v>
      </c>
      <c r="C22" s="4" t="s">
        <v>308</v>
      </c>
      <c r="D22" s="4" t="s">
        <v>309</v>
      </c>
      <c r="E22" s="4" t="s">
        <v>327</v>
      </c>
      <c r="F22" s="4">
        <v>18</v>
      </c>
      <c r="G22" s="4" t="s">
        <v>311</v>
      </c>
      <c r="H22" s="4" t="s">
        <v>328</v>
      </c>
    </row>
    <row r="23" spans="1:8" x14ac:dyDescent="0.35">
      <c r="A23" s="7" t="s">
        <v>152</v>
      </c>
      <c r="B23" s="4" t="s">
        <v>281</v>
      </c>
      <c r="C23" s="4" t="s">
        <v>308</v>
      </c>
      <c r="D23" s="4" t="s">
        <v>329</v>
      </c>
      <c r="E23" s="4" t="s">
        <v>330</v>
      </c>
      <c r="F23" s="4">
        <v>19</v>
      </c>
      <c r="G23" s="4" t="s">
        <v>311</v>
      </c>
      <c r="H23" s="4" t="s">
        <v>331</v>
      </c>
    </row>
    <row r="24" spans="1:8" x14ac:dyDescent="0.35">
      <c r="A24" s="7" t="s">
        <v>155</v>
      </c>
      <c r="B24" s="4" t="s">
        <v>281</v>
      </c>
      <c r="C24" s="4" t="s">
        <v>308</v>
      </c>
      <c r="D24" s="4" t="s">
        <v>329</v>
      </c>
      <c r="E24" s="4" t="s">
        <v>332</v>
      </c>
      <c r="F24" s="4">
        <v>20</v>
      </c>
      <c r="G24" s="4" t="s">
        <v>311</v>
      </c>
      <c r="H24" s="4" t="s">
        <v>333</v>
      </c>
    </row>
    <row r="25" spans="1:8" x14ac:dyDescent="0.35">
      <c r="A25" s="7" t="s">
        <v>164</v>
      </c>
      <c r="B25" s="4" t="s">
        <v>281</v>
      </c>
      <c r="C25" s="4" t="s">
        <v>308</v>
      </c>
      <c r="D25" s="4" t="s">
        <v>329</v>
      </c>
      <c r="E25" s="4" t="s">
        <v>334</v>
      </c>
      <c r="F25" s="4">
        <v>21</v>
      </c>
      <c r="G25" s="4" t="s">
        <v>311</v>
      </c>
      <c r="H25" s="4" t="s">
        <v>335</v>
      </c>
    </row>
    <row r="26" spans="1:8" x14ac:dyDescent="0.35">
      <c r="A26" s="7" t="s">
        <v>169</v>
      </c>
      <c r="B26" s="4" t="s">
        <v>281</v>
      </c>
      <c r="C26" s="4" t="s">
        <v>308</v>
      </c>
      <c r="D26" s="4" t="s">
        <v>329</v>
      </c>
      <c r="E26" s="4" t="s">
        <v>336</v>
      </c>
      <c r="F26" s="4">
        <v>22</v>
      </c>
      <c r="G26" s="4" t="s">
        <v>311</v>
      </c>
      <c r="H26" s="4" t="s">
        <v>337</v>
      </c>
    </row>
    <row r="27" spans="1:8" x14ac:dyDescent="0.35">
      <c r="A27" s="7" t="s">
        <v>174</v>
      </c>
      <c r="B27" s="4" t="s">
        <v>281</v>
      </c>
      <c r="C27" s="4" t="s">
        <v>308</v>
      </c>
      <c r="D27" s="4" t="s">
        <v>329</v>
      </c>
      <c r="E27" s="4" t="s">
        <v>338</v>
      </c>
      <c r="F27" s="4">
        <v>23</v>
      </c>
      <c r="G27" s="4" t="s">
        <v>311</v>
      </c>
      <c r="H27" s="4" t="s">
        <v>339</v>
      </c>
    </row>
    <row r="28" spans="1:8" x14ac:dyDescent="0.35">
      <c r="A28" s="7" t="s">
        <v>177</v>
      </c>
      <c r="B28" s="4" t="s">
        <v>281</v>
      </c>
      <c r="C28" s="4" t="s">
        <v>308</v>
      </c>
      <c r="D28" s="4" t="s">
        <v>329</v>
      </c>
      <c r="E28" s="4" t="s">
        <v>340</v>
      </c>
      <c r="F28" s="4">
        <v>24</v>
      </c>
      <c r="G28" s="4" t="s">
        <v>311</v>
      </c>
      <c r="H28" s="4" t="s">
        <v>341</v>
      </c>
    </row>
    <row r="29" spans="1:8" x14ac:dyDescent="0.35">
      <c r="A29" s="7" t="s">
        <v>188</v>
      </c>
      <c r="B29" s="4" t="s">
        <v>281</v>
      </c>
      <c r="C29" s="4" t="s">
        <v>308</v>
      </c>
      <c r="D29" s="4" t="s">
        <v>329</v>
      </c>
      <c r="E29" s="4" t="s">
        <v>342</v>
      </c>
      <c r="F29" s="4">
        <v>25</v>
      </c>
      <c r="G29" s="4" t="s">
        <v>311</v>
      </c>
      <c r="H29" s="4" t="s">
        <v>343</v>
      </c>
    </row>
    <row r="30" spans="1:8" x14ac:dyDescent="0.35">
      <c r="A30" s="7" t="s">
        <v>194</v>
      </c>
      <c r="B30" s="4" t="s">
        <v>344</v>
      </c>
      <c r="C30" s="4" t="s">
        <v>193</v>
      </c>
      <c r="D30" s="4" t="s">
        <v>345</v>
      </c>
      <c r="E30" s="4" t="s">
        <v>346</v>
      </c>
      <c r="F30" s="4">
        <v>26</v>
      </c>
      <c r="G30" s="4" t="s">
        <v>285</v>
      </c>
      <c r="H30" s="4" t="s">
        <v>347</v>
      </c>
    </row>
    <row r="31" spans="1:8" x14ac:dyDescent="0.35">
      <c r="A31" s="7" t="s">
        <v>200</v>
      </c>
      <c r="B31" s="4" t="s">
        <v>344</v>
      </c>
      <c r="C31" s="4" t="s">
        <v>193</v>
      </c>
      <c r="D31" s="4" t="s">
        <v>345</v>
      </c>
      <c r="E31" s="4" t="s">
        <v>348</v>
      </c>
      <c r="F31" s="4">
        <v>27</v>
      </c>
      <c r="G31" s="4" t="s">
        <v>285</v>
      </c>
      <c r="H31" s="4" t="s">
        <v>349</v>
      </c>
    </row>
    <row r="32" spans="1:8" x14ac:dyDescent="0.35">
      <c r="A32" s="7" t="s">
        <v>208</v>
      </c>
      <c r="B32" s="4" t="s">
        <v>344</v>
      </c>
      <c r="C32" s="4" t="s">
        <v>350</v>
      </c>
      <c r="D32" s="4" t="s">
        <v>350</v>
      </c>
      <c r="E32" s="4" t="s">
        <v>351</v>
      </c>
      <c r="F32" s="4">
        <v>28</v>
      </c>
      <c r="G32" s="4" t="s">
        <v>311</v>
      </c>
      <c r="H32" s="4" t="s">
        <v>352</v>
      </c>
    </row>
    <row r="33" spans="1:8" x14ac:dyDescent="0.35">
      <c r="A33" s="7" t="s">
        <v>353</v>
      </c>
      <c r="B33" s="4" t="s">
        <v>344</v>
      </c>
      <c r="C33" s="4" t="s">
        <v>350</v>
      </c>
      <c r="D33" s="4" t="s">
        <v>350</v>
      </c>
      <c r="E33" s="4" t="s">
        <v>354</v>
      </c>
      <c r="F33" s="4">
        <v>29</v>
      </c>
      <c r="G33" s="4" t="s">
        <v>311</v>
      </c>
      <c r="H33" s="4" t="s">
        <v>352</v>
      </c>
    </row>
    <row r="34" spans="1:8" x14ac:dyDescent="0.35">
      <c r="A34" s="7" t="s">
        <v>211</v>
      </c>
      <c r="B34" s="4" t="s">
        <v>344</v>
      </c>
      <c r="C34" s="4" t="s">
        <v>350</v>
      </c>
      <c r="D34" s="4" t="s">
        <v>350</v>
      </c>
      <c r="E34" s="4" t="s">
        <v>355</v>
      </c>
      <c r="F34" s="4">
        <v>30</v>
      </c>
      <c r="G34" s="4" t="s">
        <v>311</v>
      </c>
      <c r="H34" s="4" t="s">
        <v>352</v>
      </c>
    </row>
    <row r="35" spans="1:8" x14ac:dyDescent="0.35">
      <c r="A35" s="7" t="s">
        <v>214</v>
      </c>
      <c r="B35" s="4" t="s">
        <v>344</v>
      </c>
      <c r="C35" s="4" t="s">
        <v>350</v>
      </c>
      <c r="D35" s="4" t="s">
        <v>350</v>
      </c>
      <c r="E35" s="4" t="s">
        <v>356</v>
      </c>
      <c r="F35" s="4">
        <v>31</v>
      </c>
      <c r="G35" s="4" t="s">
        <v>311</v>
      </c>
      <c r="H35" s="4" t="s">
        <v>352</v>
      </c>
    </row>
    <row r="36" spans="1:8" x14ac:dyDescent="0.35">
      <c r="A36" s="7" t="s">
        <v>223</v>
      </c>
      <c r="B36" s="4" t="s">
        <v>344</v>
      </c>
      <c r="C36" s="4" t="s">
        <v>350</v>
      </c>
      <c r="D36" s="4" t="s">
        <v>350</v>
      </c>
      <c r="E36" s="4" t="s">
        <v>357</v>
      </c>
      <c r="F36" s="4">
        <v>32</v>
      </c>
      <c r="G36" s="4" t="s">
        <v>311</v>
      </c>
      <c r="H36" s="4" t="s">
        <v>352</v>
      </c>
    </row>
    <row r="37" spans="1:8" x14ac:dyDescent="0.35">
      <c r="A37" s="7" t="s">
        <v>230</v>
      </c>
      <c r="B37" s="4" t="s">
        <v>344</v>
      </c>
      <c r="C37" s="4" t="s">
        <v>350</v>
      </c>
      <c r="D37" s="4" t="s">
        <v>350</v>
      </c>
      <c r="E37" s="4" t="s">
        <v>358</v>
      </c>
      <c r="F37" s="4">
        <v>33</v>
      </c>
      <c r="G37" s="4" t="s">
        <v>311</v>
      </c>
      <c r="H37" s="4" t="s">
        <v>352</v>
      </c>
    </row>
    <row r="38" spans="1:8" x14ac:dyDescent="0.35">
      <c r="A38" s="7" t="s">
        <v>235</v>
      </c>
      <c r="B38" s="4" t="s">
        <v>344</v>
      </c>
      <c r="C38" s="4" t="s">
        <v>350</v>
      </c>
      <c r="D38" s="4" t="s">
        <v>350</v>
      </c>
      <c r="E38" s="4" t="s">
        <v>359</v>
      </c>
      <c r="F38" s="4">
        <v>34</v>
      </c>
      <c r="G38" s="4" t="s">
        <v>311</v>
      </c>
      <c r="H38" s="4" t="s">
        <v>352</v>
      </c>
    </row>
    <row r="39" spans="1:8" x14ac:dyDescent="0.35">
      <c r="A39" s="7" t="s">
        <v>360</v>
      </c>
      <c r="B39" s="4" t="s">
        <v>344</v>
      </c>
      <c r="C39" s="4" t="s">
        <v>350</v>
      </c>
      <c r="D39" s="4" t="s">
        <v>361</v>
      </c>
      <c r="E39" s="4" t="s">
        <v>361</v>
      </c>
      <c r="F39" s="4">
        <v>35</v>
      </c>
      <c r="G39" s="4" t="s">
        <v>311</v>
      </c>
      <c r="H39" s="4" t="s">
        <v>362</v>
      </c>
    </row>
    <row r="40" spans="1:8" x14ac:dyDescent="0.35">
      <c r="A40" s="7" t="s">
        <v>268</v>
      </c>
      <c r="B40" s="4" t="s">
        <v>344</v>
      </c>
      <c r="C40" s="4" t="s">
        <v>350</v>
      </c>
      <c r="D40" s="4" t="s">
        <v>363</v>
      </c>
      <c r="E40" s="4" t="s">
        <v>364</v>
      </c>
      <c r="F40" s="4">
        <v>36</v>
      </c>
      <c r="G40" s="4" t="s">
        <v>311</v>
      </c>
      <c r="H40" s="4" t="s">
        <v>365</v>
      </c>
    </row>
    <row r="41" spans="1:8" x14ac:dyDescent="0.35">
      <c r="A41" s="7" t="s">
        <v>271</v>
      </c>
      <c r="B41" s="4" t="s">
        <v>344</v>
      </c>
      <c r="C41" s="4" t="s">
        <v>350</v>
      </c>
      <c r="D41" s="4" t="s">
        <v>363</v>
      </c>
      <c r="E41" s="4" t="s">
        <v>366</v>
      </c>
      <c r="F41" s="4">
        <v>37</v>
      </c>
      <c r="G41" s="4" t="s">
        <v>311</v>
      </c>
      <c r="H41" s="4" t="s">
        <v>367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1" customWidth="1"/>
    <col min="2" max="2" width="62" customWidth="1"/>
    <col min="3" max="3" width="9" customWidth="1"/>
    <col min="4" max="5" width="16" customWidth="1"/>
  </cols>
  <sheetData>
    <row r="1" spans="1:5" ht="18" x14ac:dyDescent="0.4">
      <c r="A1" s="1" t="s">
        <v>368</v>
      </c>
    </row>
    <row r="2" spans="1:5" x14ac:dyDescent="0.35">
      <c r="A2" s="2" t="s">
        <v>369</v>
      </c>
    </row>
    <row r="4" spans="1:5" ht="31.5" customHeight="1" x14ac:dyDescent="0.35">
      <c r="A4" s="6" t="s">
        <v>370</v>
      </c>
      <c r="B4" s="6" t="s">
        <v>371</v>
      </c>
      <c r="C4" s="6" t="s">
        <v>54</v>
      </c>
      <c r="D4" s="6" t="s">
        <v>372</v>
      </c>
      <c r="E4" s="6" t="s">
        <v>373</v>
      </c>
    </row>
    <row r="5" spans="1:5" x14ac:dyDescent="0.35">
      <c r="A5" s="15"/>
      <c r="B5" s="16" t="s">
        <v>374</v>
      </c>
      <c r="C5" s="15"/>
      <c r="D5" s="17"/>
      <c r="E5" s="17"/>
    </row>
    <row r="6" spans="1:5" x14ac:dyDescent="0.35">
      <c r="B6" s="2" t="s">
        <v>375</v>
      </c>
      <c r="D6" s="10"/>
      <c r="E6" s="10"/>
    </row>
    <row r="7" spans="1:5" x14ac:dyDescent="0.35">
      <c r="A7" s="5" t="s">
        <v>64</v>
      </c>
      <c r="B7" s="4" t="s">
        <v>376</v>
      </c>
      <c r="C7" s="9">
        <f>IFERROR(INDEX(Mapping!$F$5:$F$41,MATCH("BS-EL-01",Mapping!$A$5:$A$41,0)),"")</f>
        <v>1</v>
      </c>
      <c r="D7" s="18">
        <f>-SUMIFS('Trial Balance'!$N$5:$N$94,'Trial Balance'!$D$5:$D$94,$A7)</f>
        <v>1000</v>
      </c>
      <c r="E7" s="18">
        <f>-SUMIFS('Trial Balance'!$O$5:$O$94,'Trial Balance'!$D$5:$D$94,$A7)</f>
        <v>1000</v>
      </c>
    </row>
    <row r="8" spans="1:5" x14ac:dyDescent="0.35">
      <c r="A8" s="5" t="s">
        <v>67</v>
      </c>
      <c r="B8" s="4" t="s">
        <v>377</v>
      </c>
      <c r="C8" s="9">
        <f>IFERROR(INDEX(Mapping!$F$5:$F$41,MATCH("BS-EL-02",Mapping!$A$5:$A$41,0)),"")</f>
        <v>2</v>
      </c>
      <c r="D8" s="18">
        <f>-SUMIFS('Trial Balance'!$N$5:$N$94,'Trial Balance'!$D$5:$D$94,$A8)+'Statement of P&amp;L'!D23</f>
        <v>2617</v>
      </c>
      <c r="E8" s="18">
        <f>-SUMIFS('Trial Balance'!$O$5:$O$94,'Trial Balance'!$D$5:$D$94,$A8)+'Statement of P&amp;L'!E23</f>
        <v>1871</v>
      </c>
    </row>
    <row r="9" spans="1:5" x14ac:dyDescent="0.35">
      <c r="B9" s="2" t="s">
        <v>378</v>
      </c>
      <c r="D9" s="19">
        <f>SUM(D7:D8)</f>
        <v>3617</v>
      </c>
      <c r="E9" s="19">
        <f>SUM(E7:E8)</f>
        <v>2871</v>
      </c>
    </row>
    <row r="10" spans="1:5" x14ac:dyDescent="0.35">
      <c r="B10" s="2" t="s">
        <v>379</v>
      </c>
      <c r="D10" s="10"/>
      <c r="E10" s="10"/>
    </row>
    <row r="11" spans="1:5" x14ac:dyDescent="0.35">
      <c r="A11" s="5" t="s">
        <v>75</v>
      </c>
      <c r="B11" s="4" t="s">
        <v>380</v>
      </c>
      <c r="C11" s="9">
        <f>IFERROR(INDEX(Mapping!$F$5:$F$41,MATCH("BS-EL-03",Mapping!$A$5:$A$41,0)),"")</f>
        <v>3</v>
      </c>
      <c r="D11" s="18">
        <f>-SUMIFS('Trial Balance'!$N$5:$N$94,'Trial Balance'!$D$5:$D$94,$A11)</f>
        <v>1200</v>
      </c>
      <c r="E11" s="18">
        <f>-SUMIFS('Trial Balance'!$O$5:$O$94,'Trial Balance'!$D$5:$D$94,$A11)</f>
        <v>1500</v>
      </c>
    </row>
    <row r="12" spans="1:5" x14ac:dyDescent="0.35">
      <c r="A12" s="5" t="s">
        <v>78</v>
      </c>
      <c r="B12" s="4" t="s">
        <v>381</v>
      </c>
      <c r="C12" s="9">
        <f>IFERROR(INDEX(Mapping!$F$5:$F$41,MATCH("BS-EL-04",Mapping!$A$5:$A$41,0)),"")</f>
        <v>4</v>
      </c>
      <c r="D12" s="18">
        <f>-SUMIFS('Trial Balance'!$N$5:$N$94,'Trial Balance'!$D$5:$D$94,$A12)</f>
        <v>95</v>
      </c>
      <c r="E12" s="18">
        <f>-SUMIFS('Trial Balance'!$O$5:$O$94,'Trial Balance'!$D$5:$D$94,$A12)</f>
        <v>80</v>
      </c>
    </row>
    <row r="13" spans="1:5" x14ac:dyDescent="0.35">
      <c r="A13" s="5" t="s">
        <v>294</v>
      </c>
      <c r="B13" s="4" t="s">
        <v>382</v>
      </c>
      <c r="C13" s="9">
        <f>IFERROR(INDEX(Mapping!$F$5:$F$41,MATCH("BS-EL-05",Mapping!$A$5:$A$41,0)),"")</f>
        <v>5</v>
      </c>
      <c r="D13" s="18">
        <f>-SUMIFS('Trial Balance'!$N$5:$N$94,'Trial Balance'!$D$5:$D$94,$A13)</f>
        <v>0</v>
      </c>
      <c r="E13" s="18">
        <f>-SUMIFS('Trial Balance'!$O$5:$O$94,'Trial Balance'!$D$5:$D$94,$A13)</f>
        <v>0</v>
      </c>
    </row>
    <row r="14" spans="1:5" x14ac:dyDescent="0.35">
      <c r="A14" s="5" t="s">
        <v>81</v>
      </c>
      <c r="B14" s="4" t="s">
        <v>383</v>
      </c>
      <c r="C14" s="9">
        <f>IFERROR(INDEX(Mapping!$F$5:$F$41,MATCH("BS-EL-06",Mapping!$A$5:$A$41,0)),"")</f>
        <v>6</v>
      </c>
      <c r="D14" s="18">
        <f>-SUMIFS('Trial Balance'!$N$5:$N$94,'Trial Balance'!$D$5:$D$94,$A14)</f>
        <v>150</v>
      </c>
      <c r="E14" s="18">
        <f>-SUMIFS('Trial Balance'!$O$5:$O$94,'Trial Balance'!$D$5:$D$94,$A14)</f>
        <v>120</v>
      </c>
    </row>
    <row r="15" spans="1:5" x14ac:dyDescent="0.35">
      <c r="B15" s="2" t="s">
        <v>384</v>
      </c>
      <c r="D15" s="19">
        <f>SUM(D11:D14)</f>
        <v>1445</v>
      </c>
      <c r="E15" s="19">
        <f>SUM(E11:E14)</f>
        <v>1700</v>
      </c>
    </row>
    <row r="16" spans="1:5" x14ac:dyDescent="0.35">
      <c r="B16" s="2" t="s">
        <v>385</v>
      </c>
      <c r="D16" s="10"/>
      <c r="E16" s="10"/>
    </row>
    <row r="17" spans="1:5" x14ac:dyDescent="0.35">
      <c r="A17" s="5" t="s">
        <v>84</v>
      </c>
      <c r="B17" s="4" t="s">
        <v>386</v>
      </c>
      <c r="C17" s="9">
        <f>IFERROR(INDEX(Mapping!$F$5:$F$41,MATCH("BS-EL-07",Mapping!$A$5:$A$41,0)),"")</f>
        <v>7</v>
      </c>
      <c r="D17" s="18">
        <f>-SUMIFS('Trial Balance'!$N$5:$N$94,'Trial Balance'!$D$5:$D$94,$A17)</f>
        <v>500</v>
      </c>
      <c r="E17" s="18">
        <f>-SUMIFS('Trial Balance'!$O$5:$O$94,'Trial Balance'!$D$5:$D$94,$A17)</f>
        <v>600</v>
      </c>
    </row>
    <row r="18" spans="1:5" x14ac:dyDescent="0.35">
      <c r="A18" s="5" t="s">
        <v>87</v>
      </c>
      <c r="B18" s="4" t="s">
        <v>387</v>
      </c>
      <c r="C18" s="9">
        <f>IFERROR(INDEX(Mapping!$F$5:$F$41,MATCH("BS-EL-08",Mapping!$A$5:$A$41,0)),"")</f>
        <v>8</v>
      </c>
      <c r="D18" s="18">
        <f>-SUMIFS('Trial Balance'!$N$5:$N$94,'Trial Balance'!$D$5:$D$94,$A18)</f>
        <v>1100</v>
      </c>
      <c r="E18" s="18">
        <f>-SUMIFS('Trial Balance'!$O$5:$O$94,'Trial Balance'!$D$5:$D$94,$A18)</f>
        <v>1000</v>
      </c>
    </row>
    <row r="19" spans="1:5" x14ac:dyDescent="0.35">
      <c r="A19" s="5" t="s">
        <v>92</v>
      </c>
      <c r="B19" s="4" t="s">
        <v>388</v>
      </c>
      <c r="C19" s="9">
        <f>IFERROR(INDEX(Mapping!$F$5:$F$41,MATCH("BS-EL-09",Mapping!$A$5:$A$41,0)),"")</f>
        <v>9</v>
      </c>
      <c r="D19" s="18">
        <f>-SUMIFS('Trial Balance'!$N$5:$N$94,'Trial Balance'!$D$5:$D$94,$A19)</f>
        <v>580</v>
      </c>
      <c r="E19" s="18">
        <f>-SUMIFS('Trial Balance'!$O$5:$O$94,'Trial Balance'!$D$5:$D$94,$A19)</f>
        <v>532</v>
      </c>
    </row>
    <row r="20" spans="1:5" x14ac:dyDescent="0.35">
      <c r="A20" s="5" t="s">
        <v>105</v>
      </c>
      <c r="B20" s="4" t="s">
        <v>389</v>
      </c>
      <c r="C20" s="9">
        <f>IFERROR(INDEX(Mapping!$F$5:$F$41,MATCH("BS-EL-10",Mapping!$A$5:$A$41,0)),"")</f>
        <v>10</v>
      </c>
      <c r="D20" s="18">
        <f>-SUMIFS('Trial Balance'!$N$5:$N$94,'Trial Balance'!$D$5:$D$94,$A20)</f>
        <v>245</v>
      </c>
      <c r="E20" s="18">
        <f>-SUMIFS('Trial Balance'!$O$5:$O$94,'Trial Balance'!$D$5:$D$94,$A20)</f>
        <v>205</v>
      </c>
    </row>
    <row r="21" spans="1:5" x14ac:dyDescent="0.35">
      <c r="B21" s="2" t="s">
        <v>390</v>
      </c>
      <c r="D21" s="19">
        <f>SUM(D17:D20)</f>
        <v>2425</v>
      </c>
      <c r="E21" s="19">
        <f>SUM(E17:E20)</f>
        <v>2337</v>
      </c>
    </row>
    <row r="22" spans="1:5" x14ac:dyDescent="0.35">
      <c r="B22" s="2" t="s">
        <v>391</v>
      </c>
      <c r="D22" s="13">
        <f>D9+D15+D21</f>
        <v>7487</v>
      </c>
      <c r="E22" s="13">
        <f>E9+E15+E21</f>
        <v>6908</v>
      </c>
    </row>
    <row r="24" spans="1:5" x14ac:dyDescent="0.35">
      <c r="A24" s="15"/>
      <c r="B24" s="16" t="s">
        <v>392</v>
      </c>
      <c r="C24" s="15"/>
      <c r="D24" s="17"/>
      <c r="E24" s="17"/>
    </row>
    <row r="25" spans="1:5" x14ac:dyDescent="0.35">
      <c r="B25" s="2" t="s">
        <v>393</v>
      </c>
      <c r="D25" s="10"/>
      <c r="E25" s="10"/>
    </row>
    <row r="26" spans="1:5" x14ac:dyDescent="0.35">
      <c r="A26" s="5" t="s">
        <v>110</v>
      </c>
      <c r="B26" s="4" t="s">
        <v>394</v>
      </c>
      <c r="C26" s="9">
        <f>IFERROR(INDEX(Mapping!$F$5:$F$41,MATCH("BS-A-01",Mapping!$A$5:$A$41,0)),"")</f>
        <v>11</v>
      </c>
      <c r="D26" s="18">
        <f>SUMIFS('Trial Balance'!$N$5:$N$94,'Trial Balance'!$D$5:$D$94,$A26)</f>
        <v>3225</v>
      </c>
      <c r="E26" s="18">
        <f>SUMIFS('Trial Balance'!$O$5:$O$94,'Trial Balance'!$D$5:$D$94,$A26)</f>
        <v>3240</v>
      </c>
    </row>
    <row r="27" spans="1:5" x14ac:dyDescent="0.35">
      <c r="A27" s="5" t="s">
        <v>133</v>
      </c>
      <c r="B27" s="4" t="s">
        <v>395</v>
      </c>
      <c r="C27" s="9">
        <f>IFERROR(INDEX(Mapping!$F$5:$F$41,MATCH("BS-A-02",Mapping!$A$5:$A$41,0)),"")</f>
        <v>12</v>
      </c>
      <c r="D27" s="18">
        <f>SUMIFS('Trial Balance'!$N$5:$N$94,'Trial Balance'!$D$5:$D$94,$A27)</f>
        <v>55</v>
      </c>
      <c r="E27" s="18">
        <f>SUMIFS('Trial Balance'!$O$5:$O$94,'Trial Balance'!$D$5:$D$94,$A27)</f>
        <v>50</v>
      </c>
    </row>
    <row r="28" spans="1:5" x14ac:dyDescent="0.35">
      <c r="A28" s="5" t="s">
        <v>138</v>
      </c>
      <c r="B28" s="4" t="s">
        <v>396</v>
      </c>
      <c r="C28" s="9">
        <f>IFERROR(INDEX(Mapping!$F$5:$F$41,MATCH("BS-A-03",Mapping!$A$5:$A$41,0)),"")</f>
        <v>13</v>
      </c>
      <c r="D28" s="18">
        <f>SUMIFS('Trial Balance'!$N$5:$N$94,'Trial Balance'!$D$5:$D$94,$A28)</f>
        <v>200</v>
      </c>
      <c r="E28" s="18">
        <f>SUMIFS('Trial Balance'!$O$5:$O$94,'Trial Balance'!$D$5:$D$94,$A28)</f>
        <v>150</v>
      </c>
    </row>
    <row r="29" spans="1:5" x14ac:dyDescent="0.35">
      <c r="A29" s="5" t="s">
        <v>317</v>
      </c>
      <c r="B29" s="4" t="s">
        <v>397</v>
      </c>
      <c r="C29" s="9">
        <f>IFERROR(INDEX(Mapping!$F$5:$F$41,MATCH("BS-A-04",Mapping!$A$5:$A$41,0)),"")</f>
        <v>14</v>
      </c>
      <c r="D29" s="18">
        <f>SUMIFS('Trial Balance'!$N$5:$N$94,'Trial Balance'!$D$5:$D$94,$A29)</f>
        <v>0</v>
      </c>
      <c r="E29" s="18">
        <f>SUMIFS('Trial Balance'!$O$5:$O$94,'Trial Balance'!$D$5:$D$94,$A29)</f>
        <v>0</v>
      </c>
    </row>
    <row r="30" spans="1:5" x14ac:dyDescent="0.35">
      <c r="A30" s="5" t="s">
        <v>141</v>
      </c>
      <c r="B30" s="4" t="s">
        <v>398</v>
      </c>
      <c r="C30" s="9">
        <f>IFERROR(INDEX(Mapping!$F$5:$F$41,MATCH("BS-A-05",Mapping!$A$5:$A$41,0)),"")</f>
        <v>15</v>
      </c>
      <c r="D30" s="18">
        <f>SUMIFS('Trial Balance'!$N$5:$N$94,'Trial Balance'!$D$5:$D$94,$A30)</f>
        <v>250</v>
      </c>
      <c r="E30" s="18">
        <f>SUMIFS('Trial Balance'!$O$5:$O$94,'Trial Balance'!$D$5:$D$94,$A30)</f>
        <v>250</v>
      </c>
    </row>
    <row r="31" spans="1:5" x14ac:dyDescent="0.35">
      <c r="A31" s="5" t="s">
        <v>322</v>
      </c>
      <c r="B31" s="4" t="s">
        <v>399</v>
      </c>
      <c r="C31" s="9">
        <f>IFERROR(INDEX(Mapping!$F$5:$F$41,MATCH("BS-A-06",Mapping!$A$5:$A$41,0)),"")</f>
        <v>16</v>
      </c>
      <c r="D31" s="18">
        <f>SUMIFS('Trial Balance'!$N$5:$N$94,'Trial Balance'!$D$5:$D$94,$A31)</f>
        <v>0</v>
      </c>
      <c r="E31" s="18">
        <f>SUMIFS('Trial Balance'!$O$5:$O$94,'Trial Balance'!$D$5:$D$94,$A31)</f>
        <v>0</v>
      </c>
    </row>
    <row r="32" spans="1:5" x14ac:dyDescent="0.35">
      <c r="A32" s="5" t="s">
        <v>144</v>
      </c>
      <c r="B32" s="4" t="s">
        <v>400</v>
      </c>
      <c r="C32" s="9">
        <f>IFERROR(INDEX(Mapping!$F$5:$F$41,MATCH("BS-A-07",Mapping!$A$5:$A$41,0)),"")</f>
        <v>17</v>
      </c>
      <c r="D32" s="18">
        <f>SUMIFS('Trial Balance'!$N$5:$N$94,'Trial Balance'!$D$5:$D$94,$A32)</f>
        <v>95</v>
      </c>
      <c r="E32" s="18">
        <f>SUMIFS('Trial Balance'!$O$5:$O$94,'Trial Balance'!$D$5:$D$94,$A32)</f>
        <v>100</v>
      </c>
    </row>
    <row r="33" spans="1:5" x14ac:dyDescent="0.35">
      <c r="A33" s="5" t="s">
        <v>149</v>
      </c>
      <c r="B33" s="4" t="s">
        <v>401</v>
      </c>
      <c r="C33" s="9">
        <f>IFERROR(INDEX(Mapping!$F$5:$F$41,MATCH("BS-A-08",Mapping!$A$5:$A$41,0)),"")</f>
        <v>18</v>
      </c>
      <c r="D33" s="18">
        <f>SUMIFS('Trial Balance'!$N$5:$N$94,'Trial Balance'!$D$5:$D$94,$A33)</f>
        <v>50</v>
      </c>
      <c r="E33" s="18">
        <f>SUMIFS('Trial Balance'!$O$5:$O$94,'Trial Balance'!$D$5:$D$94,$A33)</f>
        <v>50</v>
      </c>
    </row>
    <row r="34" spans="1:5" x14ac:dyDescent="0.35">
      <c r="B34" s="2" t="s">
        <v>402</v>
      </c>
      <c r="D34" s="19">
        <f>SUM(D26:D33)</f>
        <v>3875</v>
      </c>
      <c r="E34" s="19">
        <f>SUM(E26:E33)</f>
        <v>3840</v>
      </c>
    </row>
    <row r="35" spans="1:5" x14ac:dyDescent="0.35">
      <c r="B35" s="2" t="s">
        <v>403</v>
      </c>
      <c r="D35" s="10"/>
      <c r="E35" s="10"/>
    </row>
    <row r="36" spans="1:5" x14ac:dyDescent="0.35">
      <c r="A36" s="5" t="s">
        <v>152</v>
      </c>
      <c r="B36" s="4" t="s">
        <v>404</v>
      </c>
      <c r="C36" s="9">
        <f>IFERROR(INDEX(Mapping!$F$5:$F$41,MATCH("BS-A-09",Mapping!$A$5:$A$41,0)),"")</f>
        <v>19</v>
      </c>
      <c r="D36" s="18">
        <f>SUMIFS('Trial Balance'!$N$5:$N$94,'Trial Balance'!$D$5:$D$94,$A36)</f>
        <v>150</v>
      </c>
      <c r="E36" s="18">
        <f>SUMIFS('Trial Balance'!$O$5:$O$94,'Trial Balance'!$D$5:$D$94,$A36)</f>
        <v>100</v>
      </c>
    </row>
    <row r="37" spans="1:5" x14ac:dyDescent="0.35">
      <c r="A37" s="5" t="s">
        <v>155</v>
      </c>
      <c r="B37" s="4" t="s">
        <v>405</v>
      </c>
      <c r="C37" s="9">
        <f>IFERROR(INDEX(Mapping!$F$5:$F$41,MATCH("BS-A-10",Mapping!$A$5:$A$41,0)),"")</f>
        <v>20</v>
      </c>
      <c r="D37" s="18">
        <f>SUMIFS('Trial Balance'!$N$5:$N$94,'Trial Balance'!$D$5:$D$94,$A37)</f>
        <v>1155</v>
      </c>
      <c r="E37" s="18">
        <f>SUMIFS('Trial Balance'!$O$5:$O$94,'Trial Balance'!$D$5:$D$94,$A37)</f>
        <v>1010</v>
      </c>
    </row>
    <row r="38" spans="1:5" x14ac:dyDescent="0.35">
      <c r="A38" s="5" t="s">
        <v>164</v>
      </c>
      <c r="B38" s="4" t="s">
        <v>406</v>
      </c>
      <c r="C38" s="9">
        <f>IFERROR(INDEX(Mapping!$F$5:$F$41,MATCH("BS-A-11",Mapping!$A$5:$A$41,0)),"")</f>
        <v>21</v>
      </c>
      <c r="D38" s="18">
        <f>SUMIFS('Trial Balance'!$N$5:$N$94,'Trial Balance'!$D$5:$D$94,$A38)</f>
        <v>1425</v>
      </c>
      <c r="E38" s="18">
        <f>SUMIFS('Trial Balance'!$O$5:$O$94,'Trial Balance'!$D$5:$D$94,$A38)</f>
        <v>1260</v>
      </c>
    </row>
    <row r="39" spans="1:5" x14ac:dyDescent="0.35">
      <c r="A39" s="5" t="s">
        <v>169</v>
      </c>
      <c r="B39" s="4" t="s">
        <v>407</v>
      </c>
      <c r="C39" s="9">
        <f>IFERROR(INDEX(Mapping!$F$5:$F$41,MATCH("BS-A-12",Mapping!$A$5:$A$41,0)),"")</f>
        <v>22</v>
      </c>
      <c r="D39" s="18">
        <f>SUMIFS('Trial Balance'!$N$5:$N$94,'Trial Balance'!$D$5:$D$94,$A39)</f>
        <v>294</v>
      </c>
      <c r="E39" s="18">
        <f>SUMIFS('Trial Balance'!$O$5:$O$94,'Trial Balance'!$D$5:$D$94,$A39)</f>
        <v>215</v>
      </c>
    </row>
    <row r="40" spans="1:5" x14ac:dyDescent="0.35">
      <c r="A40" s="5" t="s">
        <v>174</v>
      </c>
      <c r="B40" s="4" t="s">
        <v>408</v>
      </c>
      <c r="C40" s="9">
        <f>IFERROR(INDEX(Mapping!$F$5:$F$41,MATCH("BS-A-13",Mapping!$A$5:$A$41,0)),"")</f>
        <v>23</v>
      </c>
      <c r="D40" s="18">
        <f>SUMIFS('Trial Balance'!$N$5:$N$94,'Trial Balance'!$D$5:$D$94,$A40)</f>
        <v>100</v>
      </c>
      <c r="E40" s="18">
        <f>SUMIFS('Trial Balance'!$O$5:$O$94,'Trial Balance'!$D$5:$D$94,$A40)</f>
        <v>80</v>
      </c>
    </row>
    <row r="41" spans="1:5" x14ac:dyDescent="0.35">
      <c r="A41" s="5" t="s">
        <v>177</v>
      </c>
      <c r="B41" s="4" t="s">
        <v>409</v>
      </c>
      <c r="C41" s="9">
        <f>IFERROR(INDEX(Mapping!$F$5:$F$41,MATCH("BS-A-14",Mapping!$A$5:$A$41,0)),"")</f>
        <v>24</v>
      </c>
      <c r="D41" s="18">
        <f>SUMIFS('Trial Balance'!$N$5:$N$94,'Trial Balance'!$D$5:$D$94,$A41)</f>
        <v>448</v>
      </c>
      <c r="E41" s="18">
        <f>SUMIFS('Trial Balance'!$O$5:$O$94,'Trial Balance'!$D$5:$D$94,$A41)</f>
        <v>370</v>
      </c>
    </row>
    <row r="42" spans="1:5" x14ac:dyDescent="0.35">
      <c r="A42" s="5" t="s">
        <v>188</v>
      </c>
      <c r="B42" s="4" t="s">
        <v>410</v>
      </c>
      <c r="C42" s="9">
        <f>IFERROR(INDEX(Mapping!$F$5:$F$41,MATCH("BS-A-15",Mapping!$A$5:$A$41,0)),"")</f>
        <v>25</v>
      </c>
      <c r="D42" s="18">
        <f>SUMIFS('Trial Balance'!$N$5:$N$94,'Trial Balance'!$D$5:$D$94,$A42)</f>
        <v>40</v>
      </c>
      <c r="E42" s="18">
        <f>SUMIFS('Trial Balance'!$O$5:$O$94,'Trial Balance'!$D$5:$D$94,$A42)</f>
        <v>33</v>
      </c>
    </row>
    <row r="43" spans="1:5" x14ac:dyDescent="0.35">
      <c r="B43" s="2" t="s">
        <v>411</v>
      </c>
      <c r="D43" s="19">
        <f>SUM(D36:D42)</f>
        <v>3612</v>
      </c>
      <c r="E43" s="19">
        <f>SUM(E36:E42)</f>
        <v>3068</v>
      </c>
    </row>
    <row r="44" spans="1:5" x14ac:dyDescent="0.35">
      <c r="B44" s="2" t="s">
        <v>412</v>
      </c>
      <c r="D44" s="13">
        <f>D34+D43</f>
        <v>7487</v>
      </c>
      <c r="E44" s="13">
        <f>E34+E43</f>
        <v>6908</v>
      </c>
    </row>
    <row r="46" spans="1:5" x14ac:dyDescent="0.35">
      <c r="B46" s="2" t="s">
        <v>413</v>
      </c>
      <c r="D46" s="14">
        <f>D44-D22</f>
        <v>0</v>
      </c>
      <c r="E46" s="14">
        <f>E44-E22</f>
        <v>0</v>
      </c>
    </row>
    <row r="48" spans="1:5" x14ac:dyDescent="0.35">
      <c r="B48" s="5" t="s">
        <v>414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1" customWidth="1"/>
    <col min="2" max="2" width="78" customWidth="1"/>
    <col min="3" max="3" width="9" customWidth="1"/>
    <col min="4" max="5" width="16" customWidth="1"/>
  </cols>
  <sheetData>
    <row r="1" spans="1:5" ht="18" x14ac:dyDescent="0.4">
      <c r="A1" s="1" t="s">
        <v>368</v>
      </c>
    </row>
    <row r="2" spans="1:5" x14ac:dyDescent="0.35">
      <c r="A2" s="2" t="s">
        <v>415</v>
      </c>
    </row>
    <row r="4" spans="1:5" ht="31.5" customHeight="1" x14ac:dyDescent="0.35">
      <c r="A4" s="6" t="s">
        <v>370</v>
      </c>
      <c r="B4" s="6" t="s">
        <v>371</v>
      </c>
      <c r="C4" s="6" t="s">
        <v>54</v>
      </c>
      <c r="D4" s="6" t="s">
        <v>416</v>
      </c>
      <c r="E4" s="6" t="s">
        <v>417</v>
      </c>
    </row>
    <row r="5" spans="1:5" x14ac:dyDescent="0.35">
      <c r="A5" s="5" t="s">
        <v>194</v>
      </c>
      <c r="B5" s="4" t="s">
        <v>418</v>
      </c>
      <c r="C5" s="9">
        <f>IFERROR(INDEX(Mapping!$F$5:$F$41,MATCH("PL-01",Mapping!$A$5:$A$41,0)),"")</f>
        <v>26</v>
      </c>
      <c r="D5" s="18">
        <f>-SUMIFS('Trial Balance'!$N$5:$N$94,'Trial Balance'!$D$5:$D$94,$A5)</f>
        <v>9375</v>
      </c>
      <c r="E5" s="18">
        <f>-SUMIFS('Trial Balance'!$O$5:$O$94,'Trial Balance'!$D$5:$D$94,$A5)</f>
        <v>8360</v>
      </c>
    </row>
    <row r="6" spans="1:5" x14ac:dyDescent="0.35">
      <c r="A6" s="5" t="s">
        <v>200</v>
      </c>
      <c r="B6" s="4" t="s">
        <v>419</v>
      </c>
      <c r="C6" s="9">
        <f>IFERROR(INDEX(Mapping!$F$5:$F$41,MATCH("PL-02",Mapping!$A$5:$A$41,0)),"")</f>
        <v>27</v>
      </c>
      <c r="D6" s="18">
        <f>-SUMIFS('Trial Balance'!$N$5:$N$94,'Trial Balance'!$D$5:$D$94,$A6)</f>
        <v>34</v>
      </c>
      <c r="E6" s="18">
        <f>-SUMIFS('Trial Balance'!$O$5:$O$94,'Trial Balance'!$D$5:$D$94,$A6)</f>
        <v>27</v>
      </c>
    </row>
    <row r="7" spans="1:5" x14ac:dyDescent="0.35">
      <c r="B7" s="2" t="s">
        <v>420</v>
      </c>
      <c r="D7" s="19">
        <f>D5+D6</f>
        <v>9409</v>
      </c>
      <c r="E7" s="19">
        <f>E5+E6</f>
        <v>8387</v>
      </c>
    </row>
    <row r="8" spans="1:5" x14ac:dyDescent="0.35">
      <c r="A8" s="15"/>
      <c r="B8" s="16" t="s">
        <v>421</v>
      </c>
      <c r="C8" s="15"/>
      <c r="D8" s="17"/>
      <c r="E8" s="17"/>
    </row>
    <row r="9" spans="1:5" x14ac:dyDescent="0.35">
      <c r="A9" s="5" t="s">
        <v>208</v>
      </c>
      <c r="B9" s="4" t="s">
        <v>422</v>
      </c>
      <c r="C9" s="9">
        <f>IFERROR(INDEX(Mapping!$F$5:$F$41,MATCH("PL-03",Mapping!$A$5:$A$41,0)),"")</f>
        <v>28</v>
      </c>
      <c r="D9" s="18">
        <f>SUMIFS('Trial Balance'!$N$5:$N$94,'Trial Balance'!$D$5:$D$94,$A9)</f>
        <v>5500</v>
      </c>
      <c r="E9" s="18">
        <f>SUMIFS('Trial Balance'!$O$5:$O$94,'Trial Balance'!$D$5:$D$94,$A9)</f>
        <v>5000</v>
      </c>
    </row>
    <row r="10" spans="1:5" x14ac:dyDescent="0.35">
      <c r="A10" s="5" t="s">
        <v>353</v>
      </c>
      <c r="B10" s="4" t="s">
        <v>423</v>
      </c>
      <c r="C10" s="9">
        <f>IFERROR(INDEX(Mapping!$F$5:$F$41,MATCH("PL-04",Mapping!$A$5:$A$41,0)),"")</f>
        <v>29</v>
      </c>
      <c r="D10" s="18">
        <f>SUMIFS('Trial Balance'!$N$5:$N$94,'Trial Balance'!$D$5:$D$94,$A10)</f>
        <v>0</v>
      </c>
      <c r="E10" s="18">
        <f>SUMIFS('Trial Balance'!$O$5:$O$94,'Trial Balance'!$D$5:$D$94,$A10)</f>
        <v>0</v>
      </c>
    </row>
    <row r="11" spans="1:5" x14ac:dyDescent="0.35">
      <c r="A11" s="5" t="s">
        <v>211</v>
      </c>
      <c r="B11" s="4" t="s">
        <v>424</v>
      </c>
      <c r="C11" s="9">
        <f>IFERROR(INDEX(Mapping!$F$5:$F$41,MATCH("PL-05",Mapping!$A$5:$A$41,0)),"")</f>
        <v>30</v>
      </c>
      <c r="D11" s="18">
        <f>SUMIFS('Trial Balance'!$N$5:$N$94,'Trial Balance'!$D$5:$D$94,$A11)</f>
        <v>-70</v>
      </c>
      <c r="E11" s="18">
        <f>SUMIFS('Trial Balance'!$O$5:$O$94,'Trial Balance'!$D$5:$D$94,$A11)</f>
        <v>-40</v>
      </c>
    </row>
    <row r="12" spans="1:5" x14ac:dyDescent="0.35">
      <c r="A12" s="5" t="s">
        <v>214</v>
      </c>
      <c r="B12" s="4" t="s">
        <v>425</v>
      </c>
      <c r="C12" s="9">
        <f>IFERROR(INDEX(Mapping!$F$5:$F$41,MATCH("PL-06",Mapping!$A$5:$A$41,0)),"")</f>
        <v>31</v>
      </c>
      <c r="D12" s="18">
        <f>SUMIFS('Trial Balance'!$N$5:$N$94,'Trial Balance'!$D$5:$D$94,$A12)</f>
        <v>1169</v>
      </c>
      <c r="E12" s="18">
        <f>SUMIFS('Trial Balance'!$O$5:$O$94,'Trial Balance'!$D$5:$D$94,$A12)</f>
        <v>1050</v>
      </c>
    </row>
    <row r="13" spans="1:5" x14ac:dyDescent="0.35">
      <c r="A13" s="5" t="s">
        <v>223</v>
      </c>
      <c r="B13" s="4" t="s">
        <v>426</v>
      </c>
      <c r="C13" s="9">
        <f>IFERROR(INDEX(Mapping!$F$5:$F$41,MATCH("PL-07",Mapping!$A$5:$A$41,0)),"")</f>
        <v>32</v>
      </c>
      <c r="D13" s="18">
        <f>SUMIFS('Trial Balance'!$N$5:$N$94,'Trial Balance'!$D$5:$D$94,$A13)</f>
        <v>194</v>
      </c>
      <c r="E13" s="18">
        <f>SUMIFS('Trial Balance'!$O$5:$O$94,'Trial Balance'!$D$5:$D$94,$A13)</f>
        <v>218</v>
      </c>
    </row>
    <row r="14" spans="1:5" x14ac:dyDescent="0.35">
      <c r="A14" s="5" t="s">
        <v>230</v>
      </c>
      <c r="B14" s="4" t="s">
        <v>427</v>
      </c>
      <c r="C14" s="9">
        <f>IFERROR(INDEX(Mapping!$F$5:$F$41,MATCH("PL-08",Mapping!$A$5:$A$41,0)),"")</f>
        <v>33</v>
      </c>
      <c r="D14" s="18">
        <f>SUMIFS('Trial Balance'!$N$5:$N$94,'Trial Balance'!$D$5:$D$94,$A14)</f>
        <v>370</v>
      </c>
      <c r="E14" s="18">
        <f>SUMIFS('Trial Balance'!$O$5:$O$94,'Trial Balance'!$D$5:$D$94,$A14)</f>
        <v>314</v>
      </c>
    </row>
    <row r="15" spans="1:5" x14ac:dyDescent="0.35">
      <c r="A15" s="5" t="s">
        <v>235</v>
      </c>
      <c r="B15" s="4" t="s">
        <v>428</v>
      </c>
      <c r="C15" s="9">
        <f>IFERROR(INDEX(Mapping!$F$5:$F$41,MATCH("PL-09",Mapping!$A$5:$A$41,0)),"")</f>
        <v>34</v>
      </c>
      <c r="D15" s="18">
        <f>SUMIFS('Trial Balance'!$N$5:$N$94,'Trial Balance'!$D$5:$D$94,$A15)</f>
        <v>1229</v>
      </c>
      <c r="E15" s="18">
        <f>SUMIFS('Trial Balance'!$O$5:$O$94,'Trial Balance'!$D$5:$D$94,$A15)</f>
        <v>1082</v>
      </c>
    </row>
    <row r="16" spans="1:5" x14ac:dyDescent="0.35">
      <c r="B16" s="2" t="s">
        <v>429</v>
      </c>
      <c r="D16" s="19">
        <f>SUM(D9:D15)</f>
        <v>8392</v>
      </c>
      <c r="E16" s="19">
        <f>SUM(E9:E15)</f>
        <v>7624</v>
      </c>
    </row>
    <row r="17" spans="1:5" x14ac:dyDescent="0.35">
      <c r="B17" s="2" t="s">
        <v>430</v>
      </c>
      <c r="D17" s="19">
        <f>D7-D16</f>
        <v>1017</v>
      </c>
      <c r="E17" s="19">
        <f>E7-E16</f>
        <v>763</v>
      </c>
    </row>
    <row r="18" spans="1:5" x14ac:dyDescent="0.35">
      <c r="A18" s="5" t="s">
        <v>360</v>
      </c>
      <c r="B18" s="4" t="s">
        <v>431</v>
      </c>
      <c r="C18" s="9">
        <f>IFERROR(INDEX(Mapping!$F$5:$F$41,MATCH("PL-10",Mapping!$A$5:$A$41,0)),"")</f>
        <v>35</v>
      </c>
      <c r="D18" s="18">
        <f>SUMIFS('Trial Balance'!$N$5:$N$94,'Trial Balance'!$D$5:$D$94,$A18)</f>
        <v>0</v>
      </c>
      <c r="E18" s="18">
        <f>SUMIFS('Trial Balance'!$O$5:$O$94,'Trial Balance'!$D$5:$D$94,$A18)</f>
        <v>0</v>
      </c>
    </row>
    <row r="19" spans="1:5" x14ac:dyDescent="0.35">
      <c r="B19" s="2" t="s">
        <v>432</v>
      </c>
      <c r="D19" s="19">
        <f>D17-D18</f>
        <v>1017</v>
      </c>
      <c r="E19" s="19">
        <f>E17-E18</f>
        <v>763</v>
      </c>
    </row>
    <row r="20" spans="1:5" x14ac:dyDescent="0.35">
      <c r="A20" s="15"/>
      <c r="B20" s="16" t="s">
        <v>433</v>
      </c>
      <c r="C20" s="15"/>
      <c r="D20" s="17"/>
      <c r="E20" s="17"/>
    </row>
    <row r="21" spans="1:5" x14ac:dyDescent="0.35">
      <c r="A21" s="5" t="s">
        <v>268</v>
      </c>
      <c r="B21" s="4" t="s">
        <v>434</v>
      </c>
      <c r="C21" s="9">
        <f>IFERROR(INDEX(Mapping!$F$5:$F$41,MATCH("PL-11",Mapping!$A$5:$A$41,0)),"")</f>
        <v>36</v>
      </c>
      <c r="D21" s="18">
        <f>SUMIFS('Trial Balance'!$N$5:$N$94,'Trial Balance'!$D$5:$D$94,$A21)</f>
        <v>256</v>
      </c>
      <c r="E21" s="18">
        <f>SUMIFS('Trial Balance'!$O$5:$O$94,'Trial Balance'!$D$5:$D$94,$A21)</f>
        <v>195</v>
      </c>
    </row>
    <row r="22" spans="1:5" x14ac:dyDescent="0.35">
      <c r="A22" s="5" t="s">
        <v>271</v>
      </c>
      <c r="B22" s="4" t="s">
        <v>435</v>
      </c>
      <c r="C22" s="9">
        <f>IFERROR(INDEX(Mapping!$F$5:$F$41,MATCH("PL-12",Mapping!$A$5:$A$41,0)),"")</f>
        <v>37</v>
      </c>
      <c r="D22" s="18">
        <f>SUMIFS('Trial Balance'!$N$5:$N$94,'Trial Balance'!$D$5:$D$94,$A22)</f>
        <v>15</v>
      </c>
      <c r="E22" s="18">
        <f>SUMIFS('Trial Balance'!$O$5:$O$94,'Trial Balance'!$D$5:$D$94,$A22)</f>
        <v>10</v>
      </c>
    </row>
    <row r="23" spans="1:5" x14ac:dyDescent="0.35">
      <c r="B23" s="2" t="s">
        <v>436</v>
      </c>
      <c r="D23" s="13">
        <f>D19-D21-D22</f>
        <v>746</v>
      </c>
      <c r="E23" s="13">
        <f>E19-E21-E22</f>
        <v>558</v>
      </c>
    </row>
    <row r="25" spans="1:5" x14ac:dyDescent="0.35">
      <c r="B25" s="5" t="s">
        <v>437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showGridLines="0" zoomScaleNormal="100" workbookViewId="0"/>
  </sheetViews>
  <sheetFormatPr defaultColWidth="8.6328125" defaultRowHeight="14.5" x14ac:dyDescent="0.35"/>
  <cols>
    <col min="1" max="1" width="5" customWidth="1"/>
    <col min="2" max="2" width="88" customWidth="1"/>
    <col min="3" max="5" width="12" customWidth="1"/>
  </cols>
  <sheetData>
    <row r="1" spans="1:5" ht="18" x14ac:dyDescent="0.4">
      <c r="A1" s="1" t="s">
        <v>438</v>
      </c>
    </row>
    <row r="3" spans="1:5" ht="31.5" customHeight="1" x14ac:dyDescent="0.35">
      <c r="A3" s="6" t="s">
        <v>439</v>
      </c>
      <c r="B3" s="6" t="s">
        <v>440</v>
      </c>
      <c r="C3" s="6" t="s">
        <v>441</v>
      </c>
      <c r="D3" s="6" t="s">
        <v>442</v>
      </c>
      <c r="E3" s="6" t="s">
        <v>443</v>
      </c>
    </row>
    <row r="4" spans="1:5" x14ac:dyDescent="0.35">
      <c r="A4" s="4">
        <v>1</v>
      </c>
      <c r="B4" s="4" t="s">
        <v>444</v>
      </c>
      <c r="C4" s="18">
        <f>'Trial Balance'!J95-'Trial Balance'!K95</f>
        <v>0</v>
      </c>
      <c r="D4" s="18">
        <f>'Trial Balance'!L95-'Trial Balance'!M95</f>
        <v>0</v>
      </c>
      <c r="E4" s="2" t="str">
        <f t="shared" ref="E4:E10" si="0">IF(AND(ABS(C4)&lt;0.5,ABS(D4)&lt;0.5),"PASS","FAIL")</f>
        <v>PASS</v>
      </c>
    </row>
    <row r="5" spans="1:5" x14ac:dyDescent="0.35">
      <c r="A5" s="4">
        <v>2</v>
      </c>
      <c r="B5" s="4" t="s">
        <v>445</v>
      </c>
      <c r="C5" s="18">
        <f>COUNTIF('Trial Balance'!$E$5:$E$94,"UNMAPPED")</f>
        <v>0</v>
      </c>
      <c r="D5" s="18">
        <f>COUNTIF('Trial Balance'!$E$5:$E$94,"UNMAPPED")</f>
        <v>0</v>
      </c>
      <c r="E5" s="2" t="str">
        <f t="shared" si="0"/>
        <v>PASS</v>
      </c>
    </row>
    <row r="6" spans="1:5" x14ac:dyDescent="0.35">
      <c r="A6" s="4">
        <v>3</v>
      </c>
      <c r="B6" s="4" t="s">
        <v>446</v>
      </c>
      <c r="C6" s="18">
        <f>'Balance Sheet'!D46</f>
        <v>0</v>
      </c>
      <c r="D6" s="18">
        <f>'Balance Sheet'!E46</f>
        <v>0</v>
      </c>
      <c r="E6" s="2" t="str">
        <f t="shared" si="0"/>
        <v>PASS</v>
      </c>
    </row>
    <row r="7" spans="1:5" x14ac:dyDescent="0.35">
      <c r="A7" s="4">
        <v>4</v>
      </c>
      <c r="B7" s="4" t="s">
        <v>447</v>
      </c>
      <c r="C7" s="18">
        <f>-'Trial Balance'!N8-(-'Trial Balance'!O8+'Statement of P&amp;L'!E23)</f>
        <v>0</v>
      </c>
      <c r="D7" s="18">
        <f>0</f>
        <v>0</v>
      </c>
      <c r="E7" s="2" t="str">
        <f t="shared" si="0"/>
        <v>PASS</v>
      </c>
    </row>
    <row r="8" spans="1:5" x14ac:dyDescent="0.35">
      <c r="A8" s="4">
        <v>5</v>
      </c>
      <c r="B8" s="4" t="s">
        <v>448</v>
      </c>
      <c r="C8" s="18">
        <f>'Statement of P&amp;L'!D14-(SUMIFS('Trial Balance'!$K$5:$K$94,'Trial Balance'!$A$5:$A$94,"&gt;=3011",'Trial Balance'!$A$5:$A$94,"&lt;=3022")-SUMIFS('Trial Balance'!$M$5:$M$94,'Trial Balance'!$A$5:$A$94,"&gt;=3011",'Trial Balance'!$A$5:$A$94,"&lt;=3022"))</f>
        <v>0</v>
      </c>
      <c r="D8" s="18">
        <f>0</f>
        <v>0</v>
      </c>
      <c r="E8" s="2" t="str">
        <f t="shared" si="0"/>
        <v>PASS</v>
      </c>
    </row>
    <row r="9" spans="1:5" x14ac:dyDescent="0.35">
      <c r="A9" s="4">
        <v>6</v>
      </c>
      <c r="B9" s="4" t="s">
        <v>449</v>
      </c>
      <c r="C9" s="18">
        <f>'Trial Balance'!J90-('Trial Balance'!K48-'Trial Balance'!M48)</f>
        <v>0</v>
      </c>
      <c r="D9" s="18">
        <f>0</f>
        <v>0</v>
      </c>
      <c r="E9" s="2" t="str">
        <f t="shared" si="0"/>
        <v>PASS</v>
      </c>
    </row>
    <row r="10" spans="1:5" x14ac:dyDescent="0.35">
      <c r="A10" s="4">
        <v>7</v>
      </c>
      <c r="B10" s="4" t="s">
        <v>450</v>
      </c>
      <c r="C10" s="18">
        <f>'Statement of P&amp;L'!D22-('Balance Sheet'!D12-'Balance Sheet'!E12)</f>
        <v>0</v>
      </c>
      <c r="D10" s="18">
        <f>0</f>
        <v>0</v>
      </c>
      <c r="E10" s="2" t="str">
        <f t="shared" si="0"/>
        <v>PASS</v>
      </c>
    </row>
    <row r="12" spans="1:5" x14ac:dyDescent="0.35">
      <c r="B12" s="2" t="s">
        <v>451</v>
      </c>
      <c r="E12" s="2" t="str">
        <f>IF(COUNTIF(E4:E10,"PASS")=7,"ALL PASS","REVIEW")</f>
        <v>ALL PASS</v>
      </c>
    </row>
  </sheetData>
  <conditionalFormatting sqref="E4:E12">
    <cfRule type="expression" dxfId="1" priority="2">
      <formula>OR(E4="PASS",E4="ALL PASS")</formula>
    </cfRule>
    <cfRule type="expression" dxfId="0" priority="3">
      <formula>OR(E4="FAIL",E4="REVIEW")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Trial Balance</vt:lpstr>
      <vt:lpstr>Mapping</vt:lpstr>
      <vt:lpstr>Balance Sheet</vt:lpstr>
      <vt:lpstr>Statement of P&amp;L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Bonela Narasingarao</cp:lastModifiedBy>
  <cp:revision>0</cp:revision>
  <dcterms:created xsi:type="dcterms:W3CDTF">2026-10-14T09:33:39Z</dcterms:created>
  <dcterms:modified xsi:type="dcterms:W3CDTF">2026-10-14T09:42:31Z</dcterms:modified>
  <dc:language>en-US</dc:language>
</cp:coreProperties>
</file>